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\\ad.yarvolga.ru\Files\Office work\Банкетный менеджер\2026\Кейтеринг\08 Дегустация, трапеза по-ярославски\"/>
    </mc:Choice>
  </mc:AlternateContent>
  <xr:revisionPtr revIDLastSave="0" documentId="13_ncr:1_{C3AD56C1-30D0-4D50-B14F-3EA9D7916B3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на 1 человека" sheetId="4" r:id="rId1"/>
    <sheet name="Просчет" sheetId="1" r:id="rId2"/>
    <sheet name="рекламка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0" i="4" l="1"/>
  <c r="F31" i="4"/>
  <c r="F32" i="4"/>
  <c r="F33" i="4"/>
  <c r="F34" i="4"/>
  <c r="F29" i="4"/>
  <c r="I32" i="4"/>
  <c r="I31" i="4"/>
  <c r="I30" i="4"/>
  <c r="I33" i="4"/>
  <c r="I29" i="4"/>
  <c r="H24" i="4"/>
  <c r="F24" i="4" s="1"/>
  <c r="H23" i="4"/>
  <c r="I23" i="4" s="1"/>
  <c r="F23" i="4"/>
  <c r="H19" i="4"/>
  <c r="I19" i="4" s="1"/>
  <c r="F19" i="4"/>
  <c r="H16" i="4"/>
  <c r="F16" i="4" s="1"/>
  <c r="H15" i="4"/>
  <c r="I15" i="4" s="1"/>
  <c r="H32" i="1"/>
  <c r="H25" i="1"/>
  <c r="H24" i="1"/>
  <c r="F24" i="1" s="1"/>
  <c r="H20" i="1"/>
  <c r="H16" i="1"/>
  <c r="F16" i="1" s="1"/>
  <c r="H17" i="1"/>
  <c r="H15" i="1"/>
  <c r="H34" i="1"/>
  <c r="H35" i="1"/>
  <c r="H36" i="1"/>
  <c r="H33" i="1"/>
  <c r="F15" i="4" l="1"/>
  <c r="I34" i="4"/>
  <c r="J35" i="4" s="1"/>
  <c r="J26" i="4"/>
  <c r="I16" i="4"/>
  <c r="I24" i="4"/>
  <c r="I24" i="1"/>
  <c r="I16" i="1"/>
  <c r="I34" i="1"/>
  <c r="I35" i="1"/>
  <c r="I36" i="1"/>
  <c r="F34" i="1"/>
  <c r="F35" i="1"/>
  <c r="F36" i="1"/>
  <c r="F33" i="1"/>
  <c r="J25" i="4" l="1"/>
  <c r="J36" i="4" s="1"/>
  <c r="J40" i="4" s="1"/>
  <c r="J41" i="4" s="1"/>
  <c r="I17" i="1"/>
  <c r="F17" i="1"/>
  <c r="I15" i="1"/>
  <c r="F15" i="1"/>
  <c r="I33" i="1"/>
  <c r="I32" i="1"/>
  <c r="J37" i="1" s="1"/>
  <c r="I27" i="1"/>
  <c r="F27" i="1"/>
  <c r="I25" i="1"/>
  <c r="F25" i="1"/>
  <c r="I20" i="1"/>
  <c r="F20" i="1"/>
  <c r="J37" i="4" l="1"/>
  <c r="J29" i="1"/>
  <c r="J28" i="1"/>
  <c r="J38" i="1" s="1"/>
  <c r="J42" i="1" s="1"/>
  <c r="J39" i="1" l="1"/>
  <c r="J43" i="1"/>
</calcChain>
</file>

<file path=xl/sharedStrings.xml><?xml version="1.0" encoding="utf-8"?>
<sst xmlns="http://schemas.openxmlformats.org/spreadsheetml/2006/main" count="165" uniqueCount="80">
  <si>
    <t>Менеджер службы кейтеринга</t>
  </si>
  <si>
    <t>Мероприятие</t>
  </si>
  <si>
    <t xml:space="preserve">Тайминг </t>
  </si>
  <si>
    <t>Выбранный зал</t>
  </si>
  <si>
    <t xml:space="preserve">Сбор гостей </t>
  </si>
  <si>
    <t>Начало</t>
  </si>
  <si>
    <t>Окон чание</t>
  </si>
  <si>
    <t>Дата проведения</t>
  </si>
  <si>
    <t xml:space="preserve">Рассадка </t>
  </si>
  <si>
    <t xml:space="preserve">Кол-во </t>
  </si>
  <si>
    <t>Аванс</t>
  </si>
  <si>
    <t>Дата внесения</t>
  </si>
  <si>
    <t>Форма оплаты</t>
  </si>
  <si>
    <t>Контактный телефон</t>
  </si>
  <si>
    <t>ФИО заказчика/ наименование организации</t>
  </si>
  <si>
    <t>E-mail</t>
  </si>
  <si>
    <t xml:space="preserve">Примечания </t>
  </si>
  <si>
    <t>Наименование</t>
  </si>
  <si>
    <t>Выход /гр</t>
  </si>
  <si>
    <t>Грамм /чел</t>
  </si>
  <si>
    <t>Цена</t>
  </si>
  <si>
    <t>Кол-во</t>
  </si>
  <si>
    <t>Сумма</t>
  </si>
  <si>
    <t>Фуршетные закуски</t>
  </si>
  <si>
    <t>Салаты</t>
  </si>
  <si>
    <t>Выпечка, бутерброды</t>
  </si>
  <si>
    <t>Мини-пирожки</t>
  </si>
  <si>
    <t>Пирожок с брусникой</t>
  </si>
  <si>
    <t>Фрукты</t>
  </si>
  <si>
    <t xml:space="preserve">Морс </t>
  </si>
  <si>
    <t>Итого кухня</t>
  </si>
  <si>
    <t>Итого грамм на персону без напитков</t>
  </si>
  <si>
    <t xml:space="preserve">Безалкогольные напитки </t>
  </si>
  <si>
    <t>Вода "Хрустальная"  газ/ б/г</t>
  </si>
  <si>
    <t xml:space="preserve">Итого бар </t>
  </si>
  <si>
    <t>Итого кухня + бар</t>
  </si>
  <si>
    <t>Итого кухня + бар на персону</t>
  </si>
  <si>
    <t>ИТОГО ПО ВСЕМ РАЗДЕЛАМ</t>
  </si>
  <si>
    <t>Итого по всем разделам на персону</t>
  </si>
  <si>
    <t>Закуска из свиной корейки и тартаром из груздей</t>
  </si>
  <si>
    <t>Кейтеринг- меню 2026</t>
  </si>
  <si>
    <t>Настойка "Хреновуха"</t>
  </si>
  <si>
    <t>Настойка "Клюковка"</t>
  </si>
  <si>
    <t>Настойка "Облипиховая"</t>
  </si>
  <si>
    <r>
      <rPr>
        <b/>
        <sz val="10"/>
        <color rgb="FF000000"/>
        <rFont val="Calibri"/>
        <family val="2"/>
        <charset val="204"/>
      </rPr>
      <t>Салат Разсол</t>
    </r>
    <r>
      <rPr>
        <sz val="10"/>
        <color indexed="8"/>
        <rFont val="Calibri"/>
        <family val="2"/>
        <charset val="204"/>
      </rPr>
      <t xml:space="preserve"> (из телятины, слабосоленой сельди, картофеля, свеклы, соленых огурцов, 
яиц перепелки, с заправкой винегрет)</t>
    </r>
  </si>
  <si>
    <t>Закуска из копченой курицы с яблоками и сельдереем, сливочным сыром</t>
  </si>
  <si>
    <t>Форшмак волжский из судака на черном хлебе</t>
  </si>
  <si>
    <t>Пирожок ржаной с солеными огурцами</t>
  </si>
  <si>
    <t>Транспортные услуги</t>
  </si>
  <si>
    <t>Услуги по организации</t>
  </si>
  <si>
    <t>Клюквенный морс, вода</t>
  </si>
  <si>
    <t xml:space="preserve"> собственного производства ресторана "Ванильное небо":</t>
  </si>
  <si>
    <t>*минимальное количество 10 персон, цена без учета логистики</t>
  </si>
  <si>
    <t>Дегустационный сет</t>
  </si>
  <si>
    <t>о ресторанной жизни Ярославля конца XIX - начала XX века.</t>
  </si>
  <si>
    <t>забытый вкус домашних купеческих обедов и парадных дворянских приёмов.</t>
  </si>
  <si>
    <t>такие блюда сегодня не встретить ни в одном другом заведении.</t>
  </si>
  <si>
    <t>Общими усилиями мы воссоздали гастрономический облик нашего города тех времён -</t>
  </si>
  <si>
    <t>Мы восстановили старинные ярославские рецепты, и на их основе было разработано уникальное меню,</t>
  </si>
  <si>
    <t>Суть русской кухни - в лаконичности и опоре на дары местной природы.</t>
  </si>
  <si>
    <t>"Трапеза по-ярославски"- это локальные продукты и рецепты, прошедшие испытание временем.</t>
  </si>
  <si>
    <t>На дегустации Вам будут предложены блюда и напитки</t>
  </si>
  <si>
    <t>Пирожки с брусникой и ржаные пирожки с солеными огурцами</t>
  </si>
  <si>
    <t>Совместный проект ресторана "Ванильное небо" и Ярославского Музея-заповедника</t>
  </si>
  <si>
    <t>Трапеза "по-ярославски"</t>
  </si>
  <si>
    <t>Волжский форшмак из судака на черном хлебе</t>
  </si>
  <si>
    <t>Закуска из копченой курицы с яблоками, сельдереем и сливочным сыром</t>
  </si>
  <si>
    <t xml:space="preserve">250 гр. закусок и 200 мл. настоек на персону </t>
  </si>
  <si>
    <t>Настойка "Смородина"</t>
  </si>
  <si>
    <t>Настойки "Хреновуха", "Смородина", "Клюковка", "Облепиховая"</t>
  </si>
  <si>
    <t>"Хреновуха"</t>
  </si>
  <si>
    <t>"Облипиховая"</t>
  </si>
  <si>
    <t>"Клюковка"</t>
  </si>
  <si>
    <t>"Смородина"</t>
  </si>
  <si>
    <t>Настойка "Бородино"</t>
  </si>
  <si>
    <t xml:space="preserve"> "Бородино"</t>
  </si>
  <si>
    <t>Стоимость на одну персону 2200 руб.*</t>
  </si>
  <si>
    <t>напиток к закуске</t>
  </si>
  <si>
    <t>курс</t>
  </si>
  <si>
    <t>Салат "Разсол"                                                                                                                                                          (телятина, сельдь, картофель, свекла, солёный огурец, перепелиное яицо, заправка "винегрет")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</si>
</sst>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dd\.mm\.yyyy"/>
    <numFmt numFmtId="166" formatCode="#\ ##0&quot; р.&quot;"/>
    <numFmt numFmtId="167" formatCode="#\ ##0\ &quot;₽&quot;"/>
  </numFmts>
  <fonts count="29">
    <font>
      <sz val="12"/>
      <color indexed="8"/>
      <name val="Verdana"/>
      <charset val="134"/>
    </font>
    <font>
      <sz val="10"/>
      <color indexed="8"/>
      <name val="Verdana"/>
      <family val="2"/>
      <charset val="204"/>
    </font>
    <font>
      <sz val="10"/>
      <color indexed="8"/>
      <name val="Calibri"/>
      <family val="2"/>
      <charset val="204"/>
    </font>
    <font>
      <sz val="10"/>
      <color theme="0" tint="-4.9989318521683403E-2"/>
      <name val="Calibri"/>
      <family val="2"/>
      <charset val="204"/>
    </font>
    <font>
      <b/>
      <sz val="12"/>
      <color indexed="8"/>
      <name val="Calibri"/>
      <family val="2"/>
      <charset val="204"/>
    </font>
    <font>
      <b/>
      <sz val="10"/>
      <color indexed="8"/>
      <name val="Calibri"/>
      <family val="2"/>
      <charset val="204"/>
    </font>
    <font>
      <b/>
      <sz val="5"/>
      <color indexed="8"/>
      <name val="Calibri"/>
      <family val="2"/>
      <charset val="204"/>
    </font>
    <font>
      <b/>
      <sz val="9"/>
      <color indexed="8"/>
      <name val="Calibri"/>
      <family val="2"/>
      <charset val="204"/>
    </font>
    <font>
      <u/>
      <sz val="10"/>
      <color indexed="11"/>
      <name val="Calibri"/>
      <family val="2"/>
      <charset val="204"/>
    </font>
    <font>
      <sz val="12"/>
      <color indexed="8"/>
      <name val="Verdana"/>
      <family val="2"/>
      <charset val="204"/>
    </font>
    <font>
      <sz val="10"/>
      <name val="Calibri"/>
      <family val="2"/>
      <charset val="204"/>
    </font>
    <font>
      <b/>
      <sz val="24"/>
      <color indexed="8"/>
      <name val="Calibri"/>
      <family val="2"/>
      <charset val="204"/>
    </font>
    <font>
      <b/>
      <sz val="10"/>
      <color rgb="FF000000"/>
      <name val="Calibri"/>
      <family val="2"/>
      <charset val="204"/>
    </font>
    <font>
      <sz val="12"/>
      <color indexed="8"/>
      <name val="Monterchi Book"/>
      <charset val="204"/>
    </font>
    <font>
      <sz val="24"/>
      <color indexed="8"/>
      <name val="Monterchi Book"/>
      <charset val="204"/>
    </font>
    <font>
      <sz val="24"/>
      <color theme="0" tint="-4.9989318521683403E-2"/>
      <name val="Monterchi Book"/>
      <charset val="204"/>
    </font>
    <font>
      <b/>
      <sz val="24"/>
      <color theme="0" tint="-4.9989318521683403E-2"/>
      <name val="Monterchi Book"/>
      <charset val="204"/>
    </font>
    <font>
      <sz val="24"/>
      <color theme="6" tint="0.59999389629810485"/>
      <name val="Monterchi Book"/>
      <charset val="204"/>
    </font>
    <font>
      <b/>
      <sz val="24"/>
      <color rgb="FFFFECD2"/>
      <name val="Monterchi Book"/>
      <charset val="204"/>
    </font>
    <font>
      <sz val="12"/>
      <color theme="1"/>
      <name val="Monterchi Book"/>
      <charset val="204"/>
    </font>
    <font>
      <b/>
      <sz val="20"/>
      <color rgb="FF604539"/>
      <name val="Monterchi Book"/>
      <charset val="204"/>
    </font>
    <font>
      <b/>
      <sz val="24"/>
      <color rgb="FF604539"/>
      <name val="Monterchi Book"/>
      <charset val="204"/>
    </font>
    <font>
      <sz val="11"/>
      <color indexed="8"/>
      <name val="Monterchi Book"/>
      <charset val="204"/>
    </font>
    <font>
      <sz val="20"/>
      <color rgb="FFFFECD2"/>
      <name val="Monterchi Book"/>
      <charset val="204"/>
    </font>
    <font>
      <b/>
      <sz val="28"/>
      <color rgb="FFFFECD2"/>
      <name val="Monterchi Book"/>
      <charset val="204"/>
    </font>
    <font>
      <sz val="14"/>
      <color indexed="8"/>
      <name val="Monterchi Book"/>
      <charset val="204"/>
    </font>
    <font>
      <sz val="14"/>
      <name val="Monterchi Book"/>
      <charset val="204"/>
    </font>
    <font>
      <sz val="12"/>
      <color rgb="FF604539"/>
      <name val="Monterchi Book"/>
      <charset val="204"/>
    </font>
    <font>
      <sz val="8"/>
      <name val="Verdana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CD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60453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9" fillId="0" borderId="0" applyNumberFormat="0" applyFill="0" applyBorder="0" applyProtection="0">
      <alignment vertical="top" wrapText="1"/>
    </xf>
  </cellStyleXfs>
  <cellXfs count="151">
    <xf numFmtId="0" fontId="0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NumberFormat="1" applyFont="1" applyAlignment="1"/>
    <xf numFmtId="0" fontId="1" fillId="0" borderId="0" xfId="0" applyFont="1" applyAlignment="1">
      <alignment vertical="top" wrapText="1"/>
    </xf>
    <xf numFmtId="0" fontId="2" fillId="0" borderId="0" xfId="0" applyFont="1" applyBorder="1" applyAlignment="1">
      <alignment vertical="center" wrapText="1"/>
    </xf>
    <xf numFmtId="1" fontId="2" fillId="0" borderId="0" xfId="0" applyNumberFormat="1" applyFont="1" applyBorder="1" applyAlignment="1">
      <alignment horizontal="right" vertical="center" wrapText="1"/>
    </xf>
    <xf numFmtId="0" fontId="2" fillId="0" borderId="0" xfId="0" applyNumberFormat="1" applyFont="1" applyBorder="1" applyAlignment="1">
      <alignment vertical="center" wrapText="1"/>
    </xf>
    <xf numFmtId="1" fontId="2" fillId="0" borderId="0" xfId="0" applyNumberFormat="1" applyFont="1" applyBorder="1" applyAlignment="1">
      <alignment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Alignment="1"/>
    <xf numFmtId="0" fontId="2" fillId="2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left" vertical="center" wrapText="1"/>
    </xf>
    <xf numFmtId="0" fontId="2" fillId="4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Border="1" applyAlignment="1"/>
    <xf numFmtId="1" fontId="2" fillId="4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67" fontId="5" fillId="3" borderId="1" xfId="0" applyNumberFormat="1" applyFont="1" applyFill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center" vertical="center" wrapText="1"/>
    </xf>
    <xf numFmtId="167" fontId="4" fillId="3" borderId="1" xfId="0" applyNumberFormat="1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vertical="top" wrapText="1"/>
    </xf>
    <xf numFmtId="0" fontId="2" fillId="0" borderId="0" xfId="0" applyNumberFormat="1" applyFont="1" applyAlignment="1">
      <alignment vertical="top" wrapText="1"/>
    </xf>
    <xf numFmtId="0" fontId="2" fillId="0" borderId="6" xfId="0" applyNumberFormat="1" applyFont="1" applyBorder="1" applyAlignment="1">
      <alignment horizontal="center" vertical="top" wrapText="1"/>
    </xf>
    <xf numFmtId="0" fontId="2" fillId="0" borderId="0" xfId="0" applyNumberFormat="1" applyFont="1" applyBorder="1" applyAlignment="1">
      <alignment horizontal="center" vertical="top" wrapText="1"/>
    </xf>
    <xf numFmtId="0" fontId="10" fillId="0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vertical="top" wrapText="1"/>
    </xf>
    <xf numFmtId="0" fontId="10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vertical="top" wrapText="1"/>
    </xf>
    <xf numFmtId="0" fontId="13" fillId="0" borderId="0" xfId="0" applyFont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13" fillId="0" borderId="0" xfId="0" applyFont="1" applyFill="1" applyAlignment="1">
      <alignment vertical="top" wrapText="1"/>
    </xf>
    <xf numFmtId="0" fontId="13" fillId="0" borderId="7" xfId="0" applyFont="1" applyBorder="1" applyAlignment="1">
      <alignment horizontal="center" vertical="top" wrapText="1"/>
    </xf>
    <xf numFmtId="0" fontId="15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top" wrapText="1"/>
    </xf>
    <xf numFmtId="0" fontId="13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8" fillId="5" borderId="0" xfId="0" applyFont="1" applyFill="1" applyBorder="1" applyAlignment="1">
      <alignment vertical="center" wrapText="1"/>
    </xf>
    <xf numFmtId="0" fontId="18" fillId="5" borderId="5" xfId="0" applyFont="1" applyFill="1" applyBorder="1" applyAlignment="1">
      <alignment vertical="center" wrapText="1"/>
    </xf>
    <xf numFmtId="0" fontId="13" fillId="0" borderId="0" xfId="0" applyFont="1" applyBorder="1" applyAlignment="1">
      <alignment vertical="top" wrapText="1"/>
    </xf>
    <xf numFmtId="0" fontId="27" fillId="5" borderId="0" xfId="0" applyFont="1" applyFill="1" applyBorder="1" applyAlignment="1">
      <alignment vertical="top" wrapText="1"/>
    </xf>
    <xf numFmtId="0" fontId="13" fillId="3" borderId="0" xfId="0" applyFont="1" applyFill="1" applyBorder="1" applyAlignment="1">
      <alignment vertical="top" wrapText="1"/>
    </xf>
    <xf numFmtId="0" fontId="2" fillId="0" borderId="0" xfId="0" applyNumberFormat="1" applyFont="1" applyBorder="1" applyAlignment="1">
      <alignment horizontal="center" vertical="top" wrapText="1"/>
    </xf>
    <xf numFmtId="0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 wrapText="1"/>
    </xf>
    <xf numFmtId="1" fontId="2" fillId="0" borderId="0" xfId="0" applyNumberFormat="1" applyFont="1" applyBorder="1" applyAlignment="1">
      <alignment horizontal="right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2" fillId="2" borderId="9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center" vertical="top" wrapText="1"/>
    </xf>
    <xf numFmtId="0" fontId="2" fillId="0" borderId="0" xfId="0" applyNumberFormat="1" applyFont="1" applyBorder="1" applyAlignment="1">
      <alignment horizontal="center" vertical="top" wrapText="1"/>
    </xf>
    <xf numFmtId="0" fontId="4" fillId="3" borderId="1" xfId="0" applyNumberFormat="1" applyFont="1" applyFill="1" applyBorder="1" applyAlignment="1">
      <alignment horizontal="right" vertical="center" wrapText="1"/>
    </xf>
    <xf numFmtId="1" fontId="4" fillId="3" borderId="1" xfId="0" applyNumberFormat="1" applyFont="1" applyFill="1" applyBorder="1" applyAlignment="1">
      <alignment horizontal="right" vertical="center" wrapText="1"/>
    </xf>
    <xf numFmtId="0" fontId="2" fillId="3" borderId="1" xfId="0" applyNumberFormat="1" applyFont="1" applyFill="1" applyBorder="1" applyAlignment="1">
      <alignment horizontal="right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5" fillId="3" borderId="1" xfId="0" applyNumberFormat="1" applyFont="1" applyFill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right" vertical="center" wrapText="1"/>
    </xf>
    <xf numFmtId="0" fontId="5" fillId="3" borderId="2" xfId="0" applyNumberFormat="1" applyFont="1" applyFill="1" applyBorder="1" applyAlignment="1">
      <alignment horizontal="right" vertical="center" wrapText="1"/>
    </xf>
    <xf numFmtId="0" fontId="5" fillId="3" borderId="3" xfId="0" applyNumberFormat="1" applyFont="1" applyFill="1" applyBorder="1" applyAlignment="1">
      <alignment horizontal="right" vertical="center" wrapText="1"/>
    </xf>
    <xf numFmtId="0" fontId="5" fillId="3" borderId="4" xfId="0" applyNumberFormat="1" applyFont="1" applyFill="1" applyBorder="1" applyAlignment="1">
      <alignment horizontal="right" vertical="center" wrapText="1"/>
    </xf>
    <xf numFmtId="0" fontId="2" fillId="0" borderId="6" xfId="0" applyNumberFormat="1" applyFont="1" applyBorder="1" applyAlignment="1">
      <alignment horizontal="center" vertical="top" wrapText="1"/>
    </xf>
    <xf numFmtId="0" fontId="2" fillId="0" borderId="0" xfId="0" applyNumberFormat="1" applyFont="1" applyBorder="1" applyAlignment="1">
      <alignment horizontal="center" vertical="top" wrapText="1"/>
    </xf>
    <xf numFmtId="0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left" vertical="center" shrinkToFit="1"/>
    </xf>
    <xf numFmtId="0" fontId="2" fillId="0" borderId="3" xfId="0" applyNumberFormat="1" applyFont="1" applyFill="1" applyBorder="1" applyAlignment="1">
      <alignment horizontal="left" vertical="center" shrinkToFit="1"/>
    </xf>
    <xf numFmtId="0" fontId="2" fillId="0" borderId="4" xfId="0" applyNumberFormat="1" applyFont="1" applyFill="1" applyBorder="1" applyAlignment="1">
      <alignment horizontal="left" vertical="center" shrinkToFit="1"/>
    </xf>
    <xf numFmtId="0" fontId="2" fillId="2" borderId="2" xfId="0" applyNumberFormat="1" applyFont="1" applyFill="1" applyBorder="1" applyAlignment="1">
      <alignment horizontal="left" vertical="center" wrapText="1"/>
    </xf>
    <xf numFmtId="0" fontId="2" fillId="2" borderId="3" xfId="0" applyNumberFormat="1" applyFont="1" applyFill="1" applyBorder="1" applyAlignment="1">
      <alignment horizontal="left" vertical="center" wrapText="1"/>
    </xf>
    <xf numFmtId="0" fontId="2" fillId="2" borderId="4" xfId="0" applyNumberFormat="1" applyFont="1" applyFill="1" applyBorder="1" applyAlignment="1">
      <alignment horizontal="left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left" vertical="center" wrapText="1"/>
    </xf>
    <xf numFmtId="0" fontId="2" fillId="4" borderId="3" xfId="0" applyNumberFormat="1" applyFont="1" applyFill="1" applyBorder="1" applyAlignment="1">
      <alignment horizontal="left" vertical="center" wrapText="1"/>
    </xf>
    <xf numFmtId="0" fontId="2" fillId="4" borderId="4" xfId="0" applyNumberFormat="1" applyFont="1" applyFill="1" applyBorder="1" applyAlignment="1">
      <alignment horizontal="left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0" fontId="5" fillId="3" borderId="3" xfId="0" applyNumberFormat="1" applyFont="1" applyFill="1" applyBorder="1" applyAlignment="1">
      <alignment horizontal="center" vertical="center" wrapText="1"/>
    </xf>
    <xf numFmtId="0" fontId="5" fillId="3" borderId="8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5" fillId="3" borderId="4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right" vertical="center" wrapText="1"/>
    </xf>
    <xf numFmtId="1" fontId="2" fillId="0" borderId="0" xfId="0" applyNumberFormat="1" applyFont="1" applyBorder="1" applyAlignment="1">
      <alignment horizontal="right" vertical="center" wrapText="1"/>
    </xf>
    <xf numFmtId="1" fontId="11" fillId="0" borderId="0" xfId="0" applyNumberFormat="1" applyFont="1" applyBorder="1" applyAlignment="1">
      <alignment horizontal="right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3" borderId="3" xfId="0" applyNumberFormat="1" applyFont="1" applyFill="1" applyBorder="1" applyAlignment="1">
      <alignment horizontal="center" vertical="center" wrapText="1"/>
    </xf>
    <xf numFmtId="1" fontId="5" fillId="3" borderId="4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10" fillId="2" borderId="2" xfId="0" applyNumberFormat="1" applyFont="1" applyFill="1" applyBorder="1" applyAlignment="1">
      <alignment horizontal="left" vertical="center" wrapText="1"/>
    </xf>
    <xf numFmtId="0" fontId="10" fillId="2" borderId="3" xfId="0" applyNumberFormat="1" applyFont="1" applyFill="1" applyBorder="1" applyAlignment="1">
      <alignment horizontal="left" vertical="center" wrapText="1"/>
    </xf>
    <xf numFmtId="0" fontId="10" fillId="2" borderId="4" xfId="0" applyNumberFormat="1" applyFont="1" applyFill="1" applyBorder="1" applyAlignment="1">
      <alignment horizontal="left" vertical="center" wrapText="1"/>
    </xf>
    <xf numFmtId="0" fontId="23" fillId="5" borderId="0" xfId="0" applyFont="1" applyFill="1" applyAlignment="1">
      <alignment horizontal="center" wrapText="1"/>
    </xf>
    <xf numFmtId="0" fontId="25" fillId="0" borderId="0" xfId="0" applyFont="1" applyAlignment="1">
      <alignment horizontal="center" vertical="top" wrapText="1"/>
    </xf>
    <xf numFmtId="0" fontId="25" fillId="0" borderId="0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6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top" wrapText="1"/>
    </xf>
    <xf numFmtId="0" fontId="24" fillId="5" borderId="0" xfId="0" applyFont="1" applyFill="1" applyBorder="1" applyAlignment="1">
      <alignment horizontal="center" vertical="top" wrapText="1"/>
    </xf>
    <xf numFmtId="0" fontId="24" fillId="5" borderId="5" xfId="0" applyFont="1" applyFill="1" applyBorder="1" applyAlignment="1">
      <alignment horizontal="center" vertical="top" wrapText="1"/>
    </xf>
    <xf numFmtId="0" fontId="17" fillId="3" borderId="7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 vertical="center" wrapText="1"/>
    </xf>
    <xf numFmtId="0" fontId="22" fillId="0" borderId="0" xfId="0" applyFont="1" applyBorder="1" applyAlignment="1">
      <alignment horizontal="left" vertical="center" wrapText="1"/>
    </xf>
    <xf numFmtId="0" fontId="22" fillId="0" borderId="0" xfId="0" applyFont="1" applyAlignment="1">
      <alignment horizontal="right" vertical="center" wrapText="1"/>
    </xf>
    <xf numFmtId="0" fontId="13" fillId="0" borderId="0" xfId="0" applyFont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top" wrapText="1"/>
    </xf>
  </cellXfs>
  <cellStyles count="2">
    <cellStyle name="Обычный" xfId="0" builtinId="0"/>
    <cellStyle name="Обычный 2" xfId="1" xr:uid="{00000000-0005-0000-0000-000031000000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C0C0C0"/>
      <rgbColor rgb="000000FF"/>
      <rgbColor rgb="00FFFFFF"/>
      <rgbColor rgb="00BFBFB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CD2"/>
      <color rgb="FF604539"/>
      <color rgb="FFCED3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209551</xdr:colOff>
      <xdr:row>0</xdr:row>
      <xdr:rowOff>0</xdr:rowOff>
    </xdr:from>
    <xdr:to>
      <xdr:col>7</xdr:col>
      <xdr:colOff>533400</xdr:colOff>
      <xdr:row>3</xdr:row>
      <xdr:rowOff>357597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7086EE5-22D1-43D3-B8BB-B34563934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1111" y="0"/>
          <a:ext cx="3440429" cy="8757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209551</xdr:colOff>
      <xdr:row>0</xdr:row>
      <xdr:rowOff>0</xdr:rowOff>
    </xdr:from>
    <xdr:to>
      <xdr:col>7</xdr:col>
      <xdr:colOff>533400</xdr:colOff>
      <xdr:row>3</xdr:row>
      <xdr:rowOff>357597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1" y="0"/>
          <a:ext cx="3321049" cy="8782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561731</xdr:colOff>
      <xdr:row>0</xdr:row>
      <xdr:rowOff>35659</xdr:rowOff>
    </xdr:from>
    <xdr:to>
      <xdr:col>6</xdr:col>
      <xdr:colOff>802138</xdr:colOff>
      <xdr:row>3</xdr:row>
      <xdr:rowOff>183960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7DB739DE-B7A6-4BC0-BDB7-B376E5673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8846" y="35659"/>
          <a:ext cx="1153830" cy="109103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39077</xdr:rowOff>
    </xdr:from>
    <xdr:to>
      <xdr:col>0</xdr:col>
      <xdr:colOff>740817</xdr:colOff>
      <xdr:row>3</xdr:row>
      <xdr:rowOff>206832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826FF57E-8914-4C7A-A094-0E45D9F7C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39077"/>
          <a:ext cx="740816" cy="11104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FF46-A942-4CC8-913D-B23FC948F288}">
  <dimension ref="A1:II41"/>
  <sheetViews>
    <sheetView showGridLines="0" topLeftCell="A25" workbookViewId="0">
      <selection activeCell="K16" sqref="K16"/>
    </sheetView>
  </sheetViews>
  <sheetFormatPr defaultColWidth="6.59765625" defaultRowHeight="15" customHeight="1"/>
  <cols>
    <col min="1" max="1" width="10.59765625" style="4" customWidth="1"/>
    <col min="2" max="2" width="5.06640625" style="4" customWidth="1"/>
    <col min="3" max="3" width="6.06640625" style="4" customWidth="1"/>
    <col min="4" max="4" width="4.86328125" style="4" customWidth="1"/>
    <col min="5" max="5" width="5.3984375" style="4" customWidth="1"/>
    <col min="6" max="6" width="5.19921875" style="4" customWidth="1"/>
    <col min="7" max="7" width="4.86328125" style="4" customWidth="1"/>
    <col min="8" max="8" width="5.9296875" style="4" customWidth="1"/>
    <col min="9" max="9" width="7.06640625" style="4" customWidth="1"/>
    <col min="10" max="10" width="13.46484375" style="4" customWidth="1"/>
    <col min="11" max="11" width="4.59765625" style="27" customWidth="1"/>
    <col min="12" max="243" width="6.59765625" style="4" customWidth="1"/>
    <col min="244" max="16384" width="6.59765625" style="5"/>
  </cols>
  <sheetData>
    <row r="1" spans="1:243" ht="12.75" customHeight="1">
      <c r="A1" s="124"/>
      <c r="B1" s="124"/>
      <c r="C1" s="124"/>
      <c r="D1" s="6"/>
      <c r="E1" s="125"/>
      <c r="F1" s="125"/>
      <c r="G1" s="126"/>
      <c r="H1" s="126"/>
      <c r="I1" s="126"/>
      <c r="J1" s="126"/>
      <c r="K1" s="26"/>
    </row>
    <row r="2" spans="1:243" ht="13.5" customHeight="1">
      <c r="A2" s="124"/>
      <c r="B2" s="124"/>
      <c r="C2" s="124"/>
      <c r="D2" s="6"/>
      <c r="E2" s="6"/>
      <c r="F2" s="6"/>
      <c r="G2" s="75"/>
      <c r="H2" s="6"/>
      <c r="I2" s="125"/>
      <c r="J2" s="126"/>
      <c r="K2" s="26"/>
    </row>
    <row r="3" spans="1:243" ht="15" customHeight="1">
      <c r="A3" s="124"/>
      <c r="B3" s="124"/>
      <c r="C3" s="124"/>
      <c r="D3" s="6"/>
      <c r="E3" s="8"/>
      <c r="F3" s="8"/>
      <c r="G3" s="9"/>
      <c r="H3" s="9"/>
      <c r="I3" s="127"/>
      <c r="J3" s="127"/>
      <c r="K3" s="26"/>
    </row>
    <row r="4" spans="1:243" ht="29.25" customHeight="1">
      <c r="A4" s="6"/>
      <c r="B4" s="6"/>
      <c r="C4" s="6"/>
      <c r="D4" s="6"/>
      <c r="E4" s="6"/>
      <c r="F4" s="6"/>
      <c r="G4" s="75"/>
      <c r="H4" s="6"/>
      <c r="I4" s="127"/>
      <c r="J4" s="127"/>
      <c r="K4" s="26"/>
    </row>
    <row r="5" spans="1:243" ht="15" customHeight="1">
      <c r="A5" s="106" t="s">
        <v>40</v>
      </c>
      <c r="B5" s="107"/>
      <c r="C5" s="107"/>
      <c r="D5" s="107"/>
      <c r="E5" s="107"/>
      <c r="F5" s="107"/>
      <c r="G5" s="107"/>
      <c r="H5" s="107"/>
      <c r="I5" s="107"/>
      <c r="J5" s="107"/>
      <c r="K5" s="26"/>
    </row>
    <row r="6" spans="1:243" ht="15" customHeight="1">
      <c r="A6" s="98" t="s">
        <v>0</v>
      </c>
      <c r="B6" s="99"/>
      <c r="C6" s="99"/>
      <c r="D6" s="98" t="s">
        <v>1</v>
      </c>
      <c r="E6" s="99"/>
      <c r="F6" s="128" t="s">
        <v>2</v>
      </c>
      <c r="G6" s="129"/>
      <c r="H6" s="130"/>
      <c r="I6" s="98" t="s">
        <v>3</v>
      </c>
      <c r="J6" s="99"/>
      <c r="K6" s="26"/>
    </row>
    <row r="7" spans="1:243" s="1" customFormat="1" ht="24.9" customHeight="1">
      <c r="A7" s="99"/>
      <c r="B7" s="99"/>
      <c r="C7" s="99"/>
      <c r="D7" s="99"/>
      <c r="E7" s="99"/>
      <c r="F7" s="71" t="s">
        <v>4</v>
      </c>
      <c r="G7" s="70" t="s">
        <v>5</v>
      </c>
      <c r="H7" s="70" t="s">
        <v>6</v>
      </c>
      <c r="I7" s="99"/>
      <c r="J7" s="99"/>
      <c r="K7" s="26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</row>
    <row r="8" spans="1:243" ht="15" customHeight="1">
      <c r="A8" s="123"/>
      <c r="B8" s="123"/>
      <c r="C8" s="123"/>
      <c r="D8" s="123"/>
      <c r="E8" s="123"/>
      <c r="F8" s="13"/>
      <c r="G8" s="14"/>
      <c r="H8" s="14"/>
      <c r="I8" s="123"/>
      <c r="J8" s="123"/>
      <c r="K8" s="26"/>
    </row>
    <row r="9" spans="1:243" ht="15" customHeight="1">
      <c r="A9" s="73" t="s">
        <v>7</v>
      </c>
      <c r="B9" s="98" t="s">
        <v>8</v>
      </c>
      <c r="C9" s="99"/>
      <c r="D9" s="70" t="s">
        <v>9</v>
      </c>
      <c r="E9" s="70" t="s">
        <v>10</v>
      </c>
      <c r="F9" s="15" t="s">
        <v>11</v>
      </c>
      <c r="G9" s="98" t="s">
        <v>12</v>
      </c>
      <c r="H9" s="99"/>
      <c r="I9" s="98" t="s">
        <v>13</v>
      </c>
      <c r="J9" s="99"/>
      <c r="K9" s="26"/>
    </row>
    <row r="10" spans="1:243" ht="15" customHeight="1">
      <c r="A10" s="16"/>
      <c r="B10" s="123"/>
      <c r="C10" s="123"/>
      <c r="D10" s="17">
        <v>10</v>
      </c>
      <c r="E10" s="74"/>
      <c r="F10" s="74"/>
      <c r="G10" s="123"/>
      <c r="H10" s="123"/>
      <c r="I10" s="123"/>
      <c r="J10" s="123"/>
      <c r="K10" s="26"/>
    </row>
    <row r="11" spans="1:243" ht="15" customHeight="1">
      <c r="A11" s="119" t="s">
        <v>14</v>
      </c>
      <c r="B11" s="120"/>
      <c r="C11" s="120"/>
      <c r="D11" s="120"/>
      <c r="E11" s="98" t="s">
        <v>15</v>
      </c>
      <c r="F11" s="98"/>
      <c r="G11" s="99"/>
      <c r="H11" s="99"/>
      <c r="I11" s="98" t="s">
        <v>16</v>
      </c>
      <c r="J11" s="99"/>
      <c r="K11" s="26"/>
    </row>
    <row r="12" spans="1:243" ht="15" customHeight="1">
      <c r="A12" s="121"/>
      <c r="B12" s="121"/>
      <c r="C12" s="121"/>
      <c r="D12" s="121"/>
      <c r="E12" s="122"/>
      <c r="F12" s="122"/>
      <c r="G12" s="123"/>
      <c r="H12" s="123"/>
      <c r="I12" s="121"/>
      <c r="J12" s="121"/>
      <c r="K12" s="26"/>
    </row>
    <row r="13" spans="1:243" ht="15" customHeight="1">
      <c r="A13" s="111" t="s">
        <v>23</v>
      </c>
      <c r="B13" s="112"/>
      <c r="C13" s="112"/>
      <c r="D13" s="112"/>
      <c r="E13" s="112"/>
      <c r="F13" s="112"/>
      <c r="G13" s="112"/>
      <c r="H13" s="112"/>
      <c r="I13" s="112"/>
      <c r="J13" s="113"/>
      <c r="K13" s="26"/>
    </row>
    <row r="14" spans="1:243" ht="24.9" customHeight="1">
      <c r="A14" s="114" t="s">
        <v>17</v>
      </c>
      <c r="B14" s="115"/>
      <c r="C14" s="115"/>
      <c r="D14" s="118"/>
      <c r="E14" s="70" t="s">
        <v>18</v>
      </c>
      <c r="F14" s="70" t="s">
        <v>19</v>
      </c>
      <c r="G14" s="70" t="s">
        <v>20</v>
      </c>
      <c r="H14" s="70" t="s">
        <v>21</v>
      </c>
      <c r="I14" s="70" t="s">
        <v>22</v>
      </c>
      <c r="J14" s="70" t="s">
        <v>77</v>
      </c>
      <c r="K14" s="26" t="s">
        <v>78</v>
      </c>
    </row>
    <row r="15" spans="1:243" ht="25" customHeight="1">
      <c r="A15" s="103" t="s">
        <v>39</v>
      </c>
      <c r="B15" s="104"/>
      <c r="C15" s="104"/>
      <c r="D15" s="105"/>
      <c r="E15" s="22">
        <v>25</v>
      </c>
      <c r="F15" s="40">
        <f t="shared" ref="F15:F16" si="0">E15*H15/$D$10</f>
        <v>25</v>
      </c>
      <c r="G15" s="19">
        <v>80</v>
      </c>
      <c r="H15" s="20">
        <f>$D$10</f>
        <v>10</v>
      </c>
      <c r="I15" s="19">
        <f t="shared" ref="I15:I16" si="1">H15*G15</f>
        <v>800</v>
      </c>
      <c r="J15" s="19" t="s">
        <v>71</v>
      </c>
      <c r="K15" s="26">
        <v>2</v>
      </c>
    </row>
    <row r="16" spans="1:243" s="2" customFormat="1" ht="25" customHeight="1">
      <c r="A16" s="103" t="s">
        <v>46</v>
      </c>
      <c r="B16" s="104"/>
      <c r="C16" s="104"/>
      <c r="D16" s="105"/>
      <c r="E16" s="22">
        <v>38</v>
      </c>
      <c r="F16" s="19">
        <f t="shared" si="0"/>
        <v>38</v>
      </c>
      <c r="G16" s="19">
        <v>120</v>
      </c>
      <c r="H16" s="20">
        <f t="shared" ref="H16" si="2">$D$10</f>
        <v>10</v>
      </c>
      <c r="I16" s="19">
        <f t="shared" si="1"/>
        <v>1200</v>
      </c>
      <c r="J16" s="19" t="s">
        <v>72</v>
      </c>
      <c r="K16" s="26">
        <v>1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</row>
    <row r="17" spans="1:243" ht="15" customHeight="1">
      <c r="A17" s="106" t="s">
        <v>24</v>
      </c>
      <c r="B17" s="107"/>
      <c r="C17" s="107"/>
      <c r="D17" s="107"/>
      <c r="E17" s="107"/>
      <c r="F17" s="107"/>
      <c r="G17" s="107"/>
      <c r="H17" s="107"/>
      <c r="I17" s="107"/>
      <c r="J17" s="107"/>
      <c r="K17" s="26"/>
    </row>
    <row r="18" spans="1:243" ht="24.9" customHeight="1">
      <c r="A18" s="98" t="s">
        <v>17</v>
      </c>
      <c r="B18" s="99"/>
      <c r="C18" s="99"/>
      <c r="D18" s="99"/>
      <c r="E18" s="70" t="s">
        <v>18</v>
      </c>
      <c r="F18" s="70" t="s">
        <v>19</v>
      </c>
      <c r="G18" s="70" t="s">
        <v>20</v>
      </c>
      <c r="H18" s="70" t="s">
        <v>21</v>
      </c>
      <c r="I18" s="70" t="s">
        <v>22</v>
      </c>
      <c r="J18" s="70"/>
      <c r="K18" s="26"/>
    </row>
    <row r="19" spans="1:243" s="2" customFormat="1" ht="51" customHeight="1">
      <c r="A19" s="108" t="s">
        <v>44</v>
      </c>
      <c r="B19" s="109"/>
      <c r="C19" s="109"/>
      <c r="D19" s="110"/>
      <c r="E19" s="23">
        <v>70</v>
      </c>
      <c r="F19" s="19">
        <f t="shared" ref="F19" si="3">E19*H19/$D$10</f>
        <v>70</v>
      </c>
      <c r="G19" s="72">
        <v>120</v>
      </c>
      <c r="H19" s="23">
        <f>$D$10</f>
        <v>10</v>
      </c>
      <c r="I19" s="72">
        <f t="shared" ref="I19" si="4">G19*H19</f>
        <v>1200</v>
      </c>
      <c r="J19" s="28" t="s">
        <v>70</v>
      </c>
      <c r="K19" s="26">
        <v>4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</row>
    <row r="20" spans="1:243" ht="15" customHeight="1">
      <c r="A20" s="111" t="s">
        <v>25</v>
      </c>
      <c r="B20" s="112"/>
      <c r="C20" s="112"/>
      <c r="D20" s="112"/>
      <c r="E20" s="112"/>
      <c r="F20" s="112"/>
      <c r="G20" s="112"/>
      <c r="H20" s="112"/>
      <c r="I20" s="112"/>
      <c r="J20" s="113"/>
      <c r="K20" s="26"/>
    </row>
    <row r="21" spans="1:243" ht="25" customHeight="1">
      <c r="A21" s="98" t="s">
        <v>17</v>
      </c>
      <c r="B21" s="99"/>
      <c r="C21" s="99"/>
      <c r="D21" s="99"/>
      <c r="E21" s="70" t="s">
        <v>18</v>
      </c>
      <c r="F21" s="70" t="s">
        <v>19</v>
      </c>
      <c r="G21" s="70" t="s">
        <v>20</v>
      </c>
      <c r="H21" s="70" t="s">
        <v>21</v>
      </c>
      <c r="I21" s="70" t="s">
        <v>22</v>
      </c>
      <c r="J21" s="70"/>
      <c r="K21" s="26"/>
    </row>
    <row r="22" spans="1:243" ht="15" customHeight="1">
      <c r="A22" s="114" t="s">
        <v>26</v>
      </c>
      <c r="B22" s="115"/>
      <c r="C22" s="115"/>
      <c r="D22" s="115"/>
      <c r="E22" s="115"/>
      <c r="F22" s="115"/>
      <c r="G22" s="115"/>
      <c r="H22" s="115"/>
      <c r="I22" s="115"/>
      <c r="J22" s="116"/>
      <c r="K22" s="26"/>
    </row>
    <row r="23" spans="1:243" s="2" customFormat="1" ht="26.4" customHeight="1">
      <c r="A23" s="117" t="s">
        <v>47</v>
      </c>
      <c r="B23" s="117"/>
      <c r="C23" s="117"/>
      <c r="D23" s="117"/>
      <c r="E23" s="29">
        <v>40</v>
      </c>
      <c r="F23" s="19">
        <f t="shared" ref="F23:F24" si="5">E23*H23/$D$10</f>
        <v>40</v>
      </c>
      <c r="G23" s="72">
        <v>110</v>
      </c>
      <c r="H23" s="20">
        <f>$D$10</f>
        <v>10</v>
      </c>
      <c r="I23" s="76">
        <f t="shared" ref="I23:I24" si="6">G23*H23</f>
        <v>1100</v>
      </c>
      <c r="J23" s="79" t="s">
        <v>75</v>
      </c>
      <c r="K23" s="80">
        <v>3</v>
      </c>
      <c r="L23" s="78"/>
      <c r="M23" s="78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</row>
    <row r="24" spans="1:243" s="3" customFormat="1" ht="25" customHeight="1">
      <c r="A24" s="103" t="s">
        <v>27</v>
      </c>
      <c r="B24" s="104"/>
      <c r="C24" s="104"/>
      <c r="D24" s="105"/>
      <c r="E24" s="21">
        <v>40</v>
      </c>
      <c r="F24" s="19">
        <f t="shared" si="5"/>
        <v>40</v>
      </c>
      <c r="G24" s="19">
        <v>110</v>
      </c>
      <c r="H24" s="20">
        <f>$D$10</f>
        <v>10</v>
      </c>
      <c r="I24" s="19">
        <f t="shared" si="6"/>
        <v>1100</v>
      </c>
      <c r="J24" s="77" t="s">
        <v>73</v>
      </c>
      <c r="K24" s="26">
        <v>5</v>
      </c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</row>
    <row r="25" spans="1:243" ht="15" customHeight="1">
      <c r="A25" s="91" t="s">
        <v>30</v>
      </c>
      <c r="B25" s="92"/>
      <c r="C25" s="92"/>
      <c r="D25" s="92"/>
      <c r="E25" s="92"/>
      <c r="F25" s="92"/>
      <c r="G25" s="92"/>
      <c r="H25" s="92"/>
      <c r="I25" s="92"/>
      <c r="J25" s="34">
        <f>SUM(I13:I24)</f>
        <v>5400</v>
      </c>
    </row>
    <row r="26" spans="1:243" ht="15" customHeight="1">
      <c r="A26" s="86" t="s">
        <v>31</v>
      </c>
      <c r="B26" s="87"/>
      <c r="C26" s="87"/>
      <c r="D26" s="87"/>
      <c r="E26" s="87"/>
      <c r="F26" s="87"/>
      <c r="G26" s="87"/>
      <c r="H26" s="87"/>
      <c r="I26" s="87"/>
      <c r="J26" s="35">
        <f>SUM(F13:F24)</f>
        <v>213</v>
      </c>
    </row>
    <row r="27" spans="1:243" ht="15" customHeight="1">
      <c r="A27" s="106" t="s">
        <v>32</v>
      </c>
      <c r="B27" s="107"/>
      <c r="C27" s="107"/>
      <c r="D27" s="107"/>
      <c r="E27" s="107"/>
      <c r="F27" s="107"/>
      <c r="G27" s="107"/>
      <c r="H27" s="107"/>
      <c r="I27" s="107"/>
      <c r="J27" s="107"/>
    </row>
    <row r="28" spans="1:243" ht="25" customHeight="1">
      <c r="A28" s="98" t="s">
        <v>17</v>
      </c>
      <c r="B28" s="99"/>
      <c r="C28" s="99"/>
      <c r="D28" s="99"/>
      <c r="E28" s="70" t="s">
        <v>18</v>
      </c>
      <c r="F28" s="70" t="s">
        <v>19</v>
      </c>
      <c r="G28" s="70" t="s">
        <v>20</v>
      </c>
      <c r="H28" s="70" t="s">
        <v>21</v>
      </c>
      <c r="I28" s="70" t="s">
        <v>22</v>
      </c>
      <c r="J28" s="70"/>
    </row>
    <row r="29" spans="1:243" ht="25" customHeight="1">
      <c r="A29" s="100" t="s">
        <v>33</v>
      </c>
      <c r="B29" s="101"/>
      <c r="C29" s="101"/>
      <c r="D29" s="102"/>
      <c r="E29" s="20">
        <v>500</v>
      </c>
      <c r="F29" s="19">
        <f t="shared" ref="F29:F34" si="7">E29*H29/$D$10</f>
        <v>50</v>
      </c>
      <c r="G29" s="20">
        <v>100</v>
      </c>
      <c r="H29" s="20">
        <v>1</v>
      </c>
      <c r="I29" s="72">
        <f t="shared" ref="I29:I34" si="8">G29*H29</f>
        <v>100</v>
      </c>
      <c r="J29" s="28"/>
    </row>
    <row r="30" spans="1:243" s="4" customFormat="1" ht="25" customHeight="1">
      <c r="A30" s="100" t="s">
        <v>41</v>
      </c>
      <c r="B30" s="101"/>
      <c r="C30" s="101"/>
      <c r="D30" s="102"/>
      <c r="E30" s="20">
        <v>500</v>
      </c>
      <c r="F30" s="19">
        <f t="shared" si="7"/>
        <v>2.5</v>
      </c>
      <c r="G30" s="20">
        <v>1400</v>
      </c>
      <c r="H30" s="20">
        <v>0.05</v>
      </c>
      <c r="I30" s="72">
        <f>H30*G30</f>
        <v>70</v>
      </c>
      <c r="J30" s="28"/>
      <c r="K30" s="27"/>
    </row>
    <row r="31" spans="1:243" s="4" customFormat="1" ht="25" customHeight="1">
      <c r="A31" s="88" t="s">
        <v>74</v>
      </c>
      <c r="B31" s="89"/>
      <c r="C31" s="89"/>
      <c r="D31" s="90"/>
      <c r="E31" s="20">
        <v>500</v>
      </c>
      <c r="F31" s="19">
        <f t="shared" si="7"/>
        <v>2.5</v>
      </c>
      <c r="G31" s="20">
        <v>1400</v>
      </c>
      <c r="H31" s="20">
        <v>0.05</v>
      </c>
      <c r="I31" s="72">
        <f>G31*H31</f>
        <v>70</v>
      </c>
      <c r="J31" s="28"/>
      <c r="K31" s="27"/>
    </row>
    <row r="32" spans="1:243" s="4" customFormat="1" ht="25" customHeight="1">
      <c r="A32" s="88" t="s">
        <v>43</v>
      </c>
      <c r="B32" s="89"/>
      <c r="C32" s="89"/>
      <c r="D32" s="90"/>
      <c r="E32" s="20">
        <v>500</v>
      </c>
      <c r="F32" s="19">
        <f t="shared" si="7"/>
        <v>2.5</v>
      </c>
      <c r="G32" s="20">
        <v>1400</v>
      </c>
      <c r="H32" s="20">
        <v>0.05</v>
      </c>
      <c r="I32" s="72">
        <f t="shared" ref="I32" si="9">G32*H32</f>
        <v>70</v>
      </c>
      <c r="J32" s="28"/>
      <c r="K32" s="27"/>
    </row>
    <row r="33" spans="1:18" s="4" customFormat="1" ht="25" customHeight="1">
      <c r="A33" s="88" t="s">
        <v>42</v>
      </c>
      <c r="B33" s="89"/>
      <c r="C33" s="89"/>
      <c r="D33" s="90"/>
      <c r="E33" s="20">
        <v>500</v>
      </c>
      <c r="F33" s="19">
        <f t="shared" si="7"/>
        <v>2.5</v>
      </c>
      <c r="G33" s="20">
        <v>1400</v>
      </c>
      <c r="H33" s="20">
        <v>0.05</v>
      </c>
      <c r="I33" s="72">
        <f>G33*H33</f>
        <v>70</v>
      </c>
      <c r="J33" s="28"/>
      <c r="K33" s="27"/>
    </row>
    <row r="34" spans="1:18" s="4" customFormat="1" ht="25" customHeight="1">
      <c r="A34" s="100" t="s">
        <v>68</v>
      </c>
      <c r="B34" s="101"/>
      <c r="C34" s="101"/>
      <c r="D34" s="102"/>
      <c r="E34" s="20">
        <v>500</v>
      </c>
      <c r="F34" s="19">
        <f t="shared" si="7"/>
        <v>2.5</v>
      </c>
      <c r="G34" s="20">
        <v>1400</v>
      </c>
      <c r="H34" s="20">
        <v>0.05</v>
      </c>
      <c r="I34" s="72">
        <f t="shared" si="8"/>
        <v>70</v>
      </c>
      <c r="J34" s="28"/>
      <c r="K34" s="27"/>
    </row>
    <row r="35" spans="1:18" s="4" customFormat="1" ht="15" customHeight="1">
      <c r="A35" s="91" t="s">
        <v>34</v>
      </c>
      <c r="B35" s="92"/>
      <c r="C35" s="92"/>
      <c r="D35" s="92"/>
      <c r="E35" s="92"/>
      <c r="F35" s="92"/>
      <c r="G35" s="92"/>
      <c r="H35" s="92"/>
      <c r="I35" s="92"/>
      <c r="J35" s="36">
        <f>SUM(I29:I34)</f>
        <v>450</v>
      </c>
      <c r="K35" s="27"/>
    </row>
    <row r="36" spans="1:18" s="4" customFormat="1" ht="15" customHeight="1">
      <c r="A36" s="91" t="s">
        <v>35</v>
      </c>
      <c r="B36" s="92"/>
      <c r="C36" s="92"/>
      <c r="D36" s="92"/>
      <c r="E36" s="92"/>
      <c r="F36" s="92"/>
      <c r="G36" s="92"/>
      <c r="H36" s="92"/>
      <c r="I36" s="92"/>
      <c r="J36" s="36">
        <f>SUM(J25,J35)</f>
        <v>5850</v>
      </c>
      <c r="K36" s="27"/>
    </row>
    <row r="37" spans="1:18" s="4" customFormat="1" ht="15" customHeight="1">
      <c r="A37" s="86" t="s">
        <v>36</v>
      </c>
      <c r="B37" s="87"/>
      <c r="C37" s="87"/>
      <c r="D37" s="87"/>
      <c r="E37" s="87"/>
      <c r="F37" s="87"/>
      <c r="G37" s="87"/>
      <c r="H37" s="87"/>
      <c r="I37" s="87"/>
      <c r="J37" s="37">
        <f>J36/D10</f>
        <v>585</v>
      </c>
      <c r="K37" s="27"/>
    </row>
    <row r="38" spans="1:18" s="4" customFormat="1" ht="15" customHeight="1">
      <c r="A38" s="93" t="s">
        <v>49</v>
      </c>
      <c r="B38" s="94"/>
      <c r="C38" s="94"/>
      <c r="D38" s="94"/>
      <c r="E38" s="94"/>
      <c r="F38" s="94"/>
      <c r="G38" s="94"/>
      <c r="H38" s="94"/>
      <c r="I38" s="95"/>
      <c r="J38" s="36">
        <v>0</v>
      </c>
      <c r="K38" s="96"/>
      <c r="L38" s="97"/>
      <c r="M38" s="97"/>
      <c r="N38" s="97"/>
      <c r="O38" s="97"/>
      <c r="P38" s="97"/>
      <c r="Q38" s="97"/>
      <c r="R38" s="97"/>
    </row>
    <row r="39" spans="1:18" s="4" customFormat="1" ht="15" customHeight="1">
      <c r="A39" s="93" t="s">
        <v>48</v>
      </c>
      <c r="B39" s="94"/>
      <c r="C39" s="94"/>
      <c r="D39" s="94"/>
      <c r="E39" s="94"/>
      <c r="F39" s="94"/>
      <c r="G39" s="94"/>
      <c r="H39" s="94"/>
      <c r="I39" s="95"/>
      <c r="J39" s="36">
        <v>8800</v>
      </c>
      <c r="K39" s="81"/>
      <c r="L39" s="69"/>
      <c r="M39" s="69"/>
      <c r="N39" s="69"/>
      <c r="O39" s="69"/>
      <c r="P39" s="69"/>
      <c r="Q39" s="69"/>
      <c r="R39" s="69"/>
    </row>
    <row r="40" spans="1:18" s="4" customFormat="1" ht="15" customHeight="1">
      <c r="A40" s="84" t="s">
        <v>37</v>
      </c>
      <c r="B40" s="85"/>
      <c r="C40" s="85"/>
      <c r="D40" s="85"/>
      <c r="E40" s="85"/>
      <c r="F40" s="85"/>
      <c r="G40" s="85"/>
      <c r="H40" s="85"/>
      <c r="I40" s="85"/>
      <c r="J40" s="38">
        <f>J36+J38+J39</f>
        <v>14650</v>
      </c>
      <c r="K40" s="81"/>
      <c r="L40" s="45"/>
      <c r="M40" s="45"/>
      <c r="N40" s="45"/>
      <c r="O40" s="45"/>
      <c r="P40" s="45"/>
    </row>
    <row r="41" spans="1:18" s="4" customFormat="1" ht="15" customHeight="1">
      <c r="A41" s="86" t="s">
        <v>38</v>
      </c>
      <c r="B41" s="87"/>
      <c r="C41" s="87"/>
      <c r="D41" s="87"/>
      <c r="E41" s="87"/>
      <c r="F41" s="87"/>
      <c r="G41" s="87"/>
      <c r="H41" s="87"/>
      <c r="I41" s="87"/>
      <c r="J41" s="39">
        <f>J40/$D$10</f>
        <v>1465</v>
      </c>
      <c r="K41" s="81"/>
      <c r="L41" s="45"/>
      <c r="M41" s="45"/>
      <c r="N41" s="45"/>
      <c r="O41" s="45"/>
      <c r="P41" s="45"/>
    </row>
  </sheetData>
  <mergeCells count="56">
    <mergeCell ref="A8:C8"/>
    <mergeCell ref="D8:E8"/>
    <mergeCell ref="I8:J8"/>
    <mergeCell ref="A1:C1"/>
    <mergeCell ref="E1:J1"/>
    <mergeCell ref="A2:C2"/>
    <mergeCell ref="I2:J2"/>
    <mergeCell ref="A3:C3"/>
    <mergeCell ref="I3:J4"/>
    <mergeCell ref="A5:J5"/>
    <mergeCell ref="A6:C7"/>
    <mergeCell ref="D6:E7"/>
    <mergeCell ref="F6:H6"/>
    <mergeCell ref="I6:J7"/>
    <mergeCell ref="B9:C9"/>
    <mergeCell ref="G9:H9"/>
    <mergeCell ref="I9:J9"/>
    <mergeCell ref="B10:C10"/>
    <mergeCell ref="G10:H10"/>
    <mergeCell ref="I10:J10"/>
    <mergeCell ref="A11:D11"/>
    <mergeCell ref="E11:H11"/>
    <mergeCell ref="I11:J11"/>
    <mergeCell ref="A12:D12"/>
    <mergeCell ref="E12:H12"/>
    <mergeCell ref="I12:J12"/>
    <mergeCell ref="A13:J13"/>
    <mergeCell ref="A14:D14"/>
    <mergeCell ref="A15:D15"/>
    <mergeCell ref="A16:D16"/>
    <mergeCell ref="A17:J17"/>
    <mergeCell ref="A24:D24"/>
    <mergeCell ref="A25:I25"/>
    <mergeCell ref="A26:I26"/>
    <mergeCell ref="A27:J27"/>
    <mergeCell ref="A18:D18"/>
    <mergeCell ref="A19:D19"/>
    <mergeCell ref="A20:J20"/>
    <mergeCell ref="A21:D21"/>
    <mergeCell ref="A22:J22"/>
    <mergeCell ref="A23:D23"/>
    <mergeCell ref="K38:R38"/>
    <mergeCell ref="A39:I39"/>
    <mergeCell ref="A28:D28"/>
    <mergeCell ref="A29:D29"/>
    <mergeCell ref="A30:D30"/>
    <mergeCell ref="A34:D34"/>
    <mergeCell ref="A33:D33"/>
    <mergeCell ref="A40:I40"/>
    <mergeCell ref="A41:I41"/>
    <mergeCell ref="A31:D31"/>
    <mergeCell ref="A32:D32"/>
    <mergeCell ref="A35:I35"/>
    <mergeCell ref="A36:I36"/>
    <mergeCell ref="A37:I37"/>
    <mergeCell ref="A38:I38"/>
  </mergeCells>
  <phoneticPr fontId="28" type="noConversion"/>
  <pageMargins left="0.23622047244094491" right="0.23622047244094491" top="0.39370078740157483" bottom="0.39370078740157483" header="0.31496062992125984" footer="0.31496062992125984"/>
  <pageSetup paperSize="9" orientation="portrait" r:id="rId1"/>
  <headerFooter>
    <oddFooter>&amp;L&amp;"Helvetica,Regular"&amp;11&amp;K000000	&amp;P</oddFooter>
  </headerFooter>
  <ignoredErrors>
    <ignoredError sqref="I30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I43"/>
  <sheetViews>
    <sheetView showGridLines="0" topLeftCell="A19" workbookViewId="0">
      <selection activeCell="A11" sqref="A11:D11"/>
    </sheetView>
  </sheetViews>
  <sheetFormatPr defaultColWidth="6.59765625" defaultRowHeight="15" customHeight="1"/>
  <cols>
    <col min="1" max="1" width="10.59765625" style="4" customWidth="1"/>
    <col min="2" max="2" width="5.06640625" style="4" customWidth="1"/>
    <col min="3" max="3" width="6.06640625" style="4" customWidth="1"/>
    <col min="4" max="4" width="4.86328125" style="4" customWidth="1"/>
    <col min="5" max="5" width="5.3984375" style="4" customWidth="1"/>
    <col min="6" max="6" width="5.19921875" style="4" customWidth="1"/>
    <col min="7" max="7" width="4.86328125" style="4" customWidth="1"/>
    <col min="8" max="8" width="5.9296875" style="4" customWidth="1"/>
    <col min="9" max="9" width="7.06640625" style="4" customWidth="1"/>
    <col min="10" max="10" width="13.46484375" style="4" customWidth="1"/>
    <col min="11" max="11" width="8.46484375" style="4" customWidth="1"/>
    <col min="12" max="243" width="6.59765625" style="4" customWidth="1"/>
    <col min="244" max="16384" width="6.59765625" style="5"/>
  </cols>
  <sheetData>
    <row r="1" spans="1:243" ht="12.75" customHeight="1">
      <c r="A1" s="124"/>
      <c r="B1" s="124"/>
      <c r="C1" s="124"/>
      <c r="D1" s="6"/>
      <c r="E1" s="125"/>
      <c r="F1" s="125"/>
      <c r="G1" s="126"/>
      <c r="H1" s="126"/>
      <c r="I1" s="126"/>
      <c r="J1" s="126"/>
      <c r="K1" s="25"/>
    </row>
    <row r="2" spans="1:243" ht="13.5" customHeight="1">
      <c r="A2" s="124"/>
      <c r="B2" s="124"/>
      <c r="C2" s="124"/>
      <c r="D2" s="6"/>
      <c r="E2" s="6"/>
      <c r="F2" s="6"/>
      <c r="G2" s="7"/>
      <c r="H2" s="6"/>
      <c r="I2" s="125"/>
      <c r="J2" s="126"/>
      <c r="K2" s="25"/>
    </row>
    <row r="3" spans="1:243" ht="15" customHeight="1">
      <c r="A3" s="124"/>
      <c r="B3" s="124"/>
      <c r="C3" s="124"/>
      <c r="D3" s="6"/>
      <c r="E3" s="8"/>
      <c r="F3" s="8"/>
      <c r="G3" s="9"/>
      <c r="H3" s="9"/>
      <c r="I3" s="127"/>
      <c r="J3" s="127"/>
      <c r="K3" s="25"/>
    </row>
    <row r="4" spans="1:243" ht="29.25" customHeight="1">
      <c r="A4" s="6"/>
      <c r="B4" s="6"/>
      <c r="C4" s="6"/>
      <c r="D4" s="6"/>
      <c r="E4" s="6"/>
      <c r="F4" s="6"/>
      <c r="G4" s="7"/>
      <c r="H4" s="6"/>
      <c r="I4" s="127"/>
      <c r="J4" s="127"/>
      <c r="K4" s="25"/>
    </row>
    <row r="5" spans="1:243" ht="15" customHeight="1">
      <c r="A5" s="106" t="s">
        <v>40</v>
      </c>
      <c r="B5" s="107"/>
      <c r="C5" s="107"/>
      <c r="D5" s="107"/>
      <c r="E5" s="107"/>
      <c r="F5" s="107"/>
      <c r="G5" s="107"/>
      <c r="H5" s="107"/>
      <c r="I5" s="107"/>
      <c r="J5" s="107"/>
      <c r="K5" s="25"/>
    </row>
    <row r="6" spans="1:243" ht="15" customHeight="1">
      <c r="A6" s="98" t="s">
        <v>0</v>
      </c>
      <c r="B6" s="99"/>
      <c r="C6" s="99"/>
      <c r="D6" s="98" t="s">
        <v>1</v>
      </c>
      <c r="E6" s="99"/>
      <c r="F6" s="128" t="s">
        <v>2</v>
      </c>
      <c r="G6" s="129"/>
      <c r="H6" s="130"/>
      <c r="I6" s="98" t="s">
        <v>3</v>
      </c>
      <c r="J6" s="99"/>
      <c r="K6" s="25"/>
    </row>
    <row r="7" spans="1:243" s="1" customFormat="1" ht="24.9" customHeight="1">
      <c r="A7" s="99"/>
      <c r="B7" s="99"/>
      <c r="C7" s="99"/>
      <c r="D7" s="99"/>
      <c r="E7" s="99"/>
      <c r="F7" s="11" t="s">
        <v>4</v>
      </c>
      <c r="G7" s="10" t="s">
        <v>5</v>
      </c>
      <c r="H7" s="10" t="s">
        <v>6</v>
      </c>
      <c r="I7" s="99"/>
      <c r="J7" s="99"/>
      <c r="K7" s="26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</row>
    <row r="8" spans="1:243" ht="15" customHeight="1">
      <c r="A8" s="123"/>
      <c r="B8" s="123"/>
      <c r="C8" s="123"/>
      <c r="D8" s="123"/>
      <c r="E8" s="123"/>
      <c r="F8" s="13"/>
      <c r="G8" s="14"/>
      <c r="H8" s="14"/>
      <c r="I8" s="123"/>
      <c r="J8" s="123"/>
      <c r="K8" s="25"/>
    </row>
    <row r="9" spans="1:243" ht="15" customHeight="1">
      <c r="A9" s="43" t="s">
        <v>7</v>
      </c>
      <c r="B9" s="98" t="s">
        <v>8</v>
      </c>
      <c r="C9" s="99"/>
      <c r="D9" s="10" t="s">
        <v>9</v>
      </c>
      <c r="E9" s="10" t="s">
        <v>10</v>
      </c>
      <c r="F9" s="15" t="s">
        <v>11</v>
      </c>
      <c r="G9" s="98" t="s">
        <v>12</v>
      </c>
      <c r="H9" s="99"/>
      <c r="I9" s="98" t="s">
        <v>13</v>
      </c>
      <c r="J9" s="99"/>
      <c r="K9" s="25"/>
    </row>
    <row r="10" spans="1:243" ht="15" customHeight="1">
      <c r="A10" s="16"/>
      <c r="B10" s="123"/>
      <c r="C10" s="123"/>
      <c r="D10" s="17">
        <v>10</v>
      </c>
      <c r="E10" s="18"/>
      <c r="F10" s="18"/>
      <c r="G10" s="123"/>
      <c r="H10" s="123"/>
      <c r="I10" s="123"/>
      <c r="J10" s="123"/>
      <c r="K10" s="25"/>
    </row>
    <row r="11" spans="1:243" ht="15" customHeight="1">
      <c r="A11" s="119" t="s">
        <v>14</v>
      </c>
      <c r="B11" s="120"/>
      <c r="C11" s="120"/>
      <c r="D11" s="120"/>
      <c r="E11" s="98" t="s">
        <v>15</v>
      </c>
      <c r="F11" s="98"/>
      <c r="G11" s="99"/>
      <c r="H11" s="99"/>
      <c r="I11" s="98" t="s">
        <v>16</v>
      </c>
      <c r="J11" s="99"/>
      <c r="K11" s="25"/>
    </row>
    <row r="12" spans="1:243" ht="15" customHeight="1">
      <c r="A12" s="121"/>
      <c r="B12" s="121"/>
      <c r="C12" s="121"/>
      <c r="D12" s="121"/>
      <c r="E12" s="122"/>
      <c r="F12" s="122"/>
      <c r="G12" s="123"/>
      <c r="H12" s="123"/>
      <c r="I12" s="121"/>
      <c r="J12" s="121"/>
      <c r="K12" s="25"/>
    </row>
    <row r="13" spans="1:243" ht="15" customHeight="1">
      <c r="A13" s="111" t="s">
        <v>23</v>
      </c>
      <c r="B13" s="112"/>
      <c r="C13" s="112"/>
      <c r="D13" s="112"/>
      <c r="E13" s="112"/>
      <c r="F13" s="112"/>
      <c r="G13" s="112"/>
      <c r="H13" s="112"/>
      <c r="I13" s="112"/>
      <c r="J13" s="113"/>
      <c r="K13" s="25"/>
    </row>
    <row r="14" spans="1:243" ht="24.9" customHeight="1">
      <c r="A14" s="114" t="s">
        <v>17</v>
      </c>
      <c r="B14" s="115"/>
      <c r="C14" s="115"/>
      <c r="D14" s="118"/>
      <c r="E14" s="10" t="s">
        <v>18</v>
      </c>
      <c r="F14" s="10" t="s">
        <v>19</v>
      </c>
      <c r="G14" s="10" t="s">
        <v>20</v>
      </c>
      <c r="H14" s="10" t="s">
        <v>21</v>
      </c>
      <c r="I14" s="10" t="s">
        <v>22</v>
      </c>
      <c r="J14" s="10"/>
      <c r="K14" s="25"/>
    </row>
    <row r="15" spans="1:243" ht="25" customHeight="1">
      <c r="A15" s="103" t="s">
        <v>39</v>
      </c>
      <c r="B15" s="104"/>
      <c r="C15" s="104"/>
      <c r="D15" s="105"/>
      <c r="E15" s="22">
        <v>25</v>
      </c>
      <c r="F15" s="40">
        <f t="shared" ref="F15:F17" si="0">E15*H15/$D$10</f>
        <v>25</v>
      </c>
      <c r="G15" s="19">
        <v>80</v>
      </c>
      <c r="H15" s="20">
        <f>$D$10</f>
        <v>10</v>
      </c>
      <c r="I15" s="19">
        <f t="shared" ref="I15:I17" si="1">H15*G15</f>
        <v>800</v>
      </c>
      <c r="J15" s="19"/>
      <c r="K15" s="25"/>
    </row>
    <row r="16" spans="1:243" s="2" customFormat="1" ht="25" customHeight="1">
      <c r="A16" s="103" t="s">
        <v>46</v>
      </c>
      <c r="B16" s="104"/>
      <c r="C16" s="104"/>
      <c r="D16" s="105"/>
      <c r="E16" s="22">
        <v>38</v>
      </c>
      <c r="F16" s="19">
        <f t="shared" si="0"/>
        <v>38</v>
      </c>
      <c r="G16" s="19">
        <v>120</v>
      </c>
      <c r="H16" s="20">
        <f t="shared" ref="H16:H17" si="2">$D$10</f>
        <v>10</v>
      </c>
      <c r="I16" s="19">
        <f t="shared" si="1"/>
        <v>1200</v>
      </c>
      <c r="J16" s="19"/>
      <c r="K16" s="25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</row>
    <row r="17" spans="1:243" ht="25" customHeight="1">
      <c r="A17" s="133" t="s">
        <v>45</v>
      </c>
      <c r="B17" s="134"/>
      <c r="C17" s="134"/>
      <c r="D17" s="135"/>
      <c r="E17" s="48">
        <v>40</v>
      </c>
      <c r="F17" s="49">
        <f t="shared" si="0"/>
        <v>40</v>
      </c>
      <c r="G17" s="49">
        <v>120</v>
      </c>
      <c r="H17" s="20">
        <f t="shared" si="2"/>
        <v>10</v>
      </c>
      <c r="I17" s="49">
        <f t="shared" si="1"/>
        <v>1200</v>
      </c>
      <c r="J17" s="49"/>
      <c r="K17" s="25"/>
    </row>
    <row r="18" spans="1:243" ht="15" customHeight="1">
      <c r="A18" s="106" t="s">
        <v>24</v>
      </c>
      <c r="B18" s="107"/>
      <c r="C18" s="107"/>
      <c r="D18" s="107"/>
      <c r="E18" s="107"/>
      <c r="F18" s="107"/>
      <c r="G18" s="107"/>
      <c r="H18" s="107"/>
      <c r="I18" s="107"/>
      <c r="J18" s="107"/>
      <c r="K18" s="25"/>
    </row>
    <row r="19" spans="1:243" ht="24.9" customHeight="1">
      <c r="A19" s="98" t="s">
        <v>17</v>
      </c>
      <c r="B19" s="99"/>
      <c r="C19" s="99"/>
      <c r="D19" s="99"/>
      <c r="E19" s="10" t="s">
        <v>18</v>
      </c>
      <c r="F19" s="10" t="s">
        <v>19</v>
      </c>
      <c r="G19" s="10" t="s">
        <v>20</v>
      </c>
      <c r="H19" s="10" t="s">
        <v>21</v>
      </c>
      <c r="I19" s="10" t="s">
        <v>22</v>
      </c>
      <c r="J19" s="10"/>
      <c r="K19" s="25"/>
    </row>
    <row r="20" spans="1:243" s="2" customFormat="1" ht="51" customHeight="1">
      <c r="A20" s="108" t="s">
        <v>44</v>
      </c>
      <c r="B20" s="109"/>
      <c r="C20" s="109"/>
      <c r="D20" s="110"/>
      <c r="E20" s="23">
        <v>70</v>
      </c>
      <c r="F20" s="19">
        <f t="shared" ref="F20" si="3">E20*H20/$D$10</f>
        <v>70</v>
      </c>
      <c r="G20" s="12">
        <v>120</v>
      </c>
      <c r="H20" s="23">
        <f>$D$10</f>
        <v>10</v>
      </c>
      <c r="I20" s="12">
        <f t="shared" ref="I20" si="4">G20*H20</f>
        <v>1200</v>
      </c>
      <c r="J20" s="28"/>
      <c r="K20" s="25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</row>
    <row r="21" spans="1:243" ht="15" customHeight="1">
      <c r="A21" s="111" t="s">
        <v>25</v>
      </c>
      <c r="B21" s="112"/>
      <c r="C21" s="112"/>
      <c r="D21" s="112"/>
      <c r="E21" s="112"/>
      <c r="F21" s="112"/>
      <c r="G21" s="112"/>
      <c r="H21" s="112"/>
      <c r="I21" s="112"/>
      <c r="J21" s="113"/>
      <c r="K21" s="25"/>
    </row>
    <row r="22" spans="1:243" ht="25" customHeight="1">
      <c r="A22" s="98" t="s">
        <v>17</v>
      </c>
      <c r="B22" s="99"/>
      <c r="C22" s="99"/>
      <c r="D22" s="99"/>
      <c r="E22" s="10" t="s">
        <v>18</v>
      </c>
      <c r="F22" s="10" t="s">
        <v>19</v>
      </c>
      <c r="G22" s="10" t="s">
        <v>20</v>
      </c>
      <c r="H22" s="10" t="s">
        <v>21</v>
      </c>
      <c r="I22" s="10" t="s">
        <v>22</v>
      </c>
      <c r="J22" s="10"/>
      <c r="K22" s="25"/>
    </row>
    <row r="23" spans="1:243" ht="15" customHeight="1">
      <c r="A23" s="114" t="s">
        <v>26</v>
      </c>
      <c r="B23" s="115"/>
      <c r="C23" s="115"/>
      <c r="D23" s="115"/>
      <c r="E23" s="115"/>
      <c r="F23" s="115"/>
      <c r="G23" s="115"/>
      <c r="H23" s="115"/>
      <c r="I23" s="115"/>
      <c r="J23" s="118"/>
      <c r="K23" s="25"/>
    </row>
    <row r="24" spans="1:243" s="2" customFormat="1" ht="26.4" customHeight="1">
      <c r="A24" s="117" t="s">
        <v>47</v>
      </c>
      <c r="B24" s="117"/>
      <c r="C24" s="117"/>
      <c r="D24" s="117"/>
      <c r="E24" s="29">
        <v>40</v>
      </c>
      <c r="F24" s="19">
        <f t="shared" ref="F24:F25" si="5">E24*H24/$D$10</f>
        <v>40</v>
      </c>
      <c r="G24" s="42">
        <v>110</v>
      </c>
      <c r="H24" s="20">
        <f>$D$10</f>
        <v>10</v>
      </c>
      <c r="I24" s="42">
        <f t="shared" ref="I24:I25" si="6">G24*H24</f>
        <v>1100</v>
      </c>
      <c r="J24" s="28"/>
      <c r="K24" s="25"/>
      <c r="L24" s="32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</row>
    <row r="25" spans="1:243" s="3" customFormat="1" ht="25" customHeight="1">
      <c r="A25" s="103" t="s">
        <v>27</v>
      </c>
      <c r="B25" s="104"/>
      <c r="C25" s="104"/>
      <c r="D25" s="105"/>
      <c r="E25" s="21">
        <v>40</v>
      </c>
      <c r="F25" s="19">
        <f t="shared" si="5"/>
        <v>40</v>
      </c>
      <c r="G25" s="19">
        <v>110</v>
      </c>
      <c r="H25" s="20">
        <f>$D$10</f>
        <v>10</v>
      </c>
      <c r="I25" s="19">
        <f t="shared" si="6"/>
        <v>1100</v>
      </c>
      <c r="J25" s="19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</row>
    <row r="26" spans="1:243" ht="15" customHeight="1">
      <c r="A26" s="111" t="s">
        <v>28</v>
      </c>
      <c r="B26" s="112"/>
      <c r="C26" s="112"/>
      <c r="D26" s="112"/>
      <c r="E26" s="112"/>
      <c r="F26" s="112"/>
      <c r="G26" s="112"/>
      <c r="H26" s="112"/>
      <c r="I26" s="112"/>
      <c r="J26" s="113"/>
    </row>
    <row r="27" spans="1:243" ht="15" customHeight="1">
      <c r="A27" s="131" t="s">
        <v>29</v>
      </c>
      <c r="B27" s="132"/>
      <c r="C27" s="132"/>
      <c r="D27" s="132"/>
      <c r="E27" s="31">
        <v>1000</v>
      </c>
      <c r="F27" s="19">
        <f t="shared" ref="F27" si="7">E27*H27/$D$10</f>
        <v>100</v>
      </c>
      <c r="G27" s="31">
        <v>320</v>
      </c>
      <c r="H27" s="24">
        <v>1</v>
      </c>
      <c r="I27" s="33">
        <f>G27*H27</f>
        <v>320</v>
      </c>
      <c r="J27" s="30"/>
    </row>
    <row r="28" spans="1:243" ht="15" customHeight="1">
      <c r="A28" s="91" t="s">
        <v>30</v>
      </c>
      <c r="B28" s="92"/>
      <c r="C28" s="92"/>
      <c r="D28" s="92"/>
      <c r="E28" s="92"/>
      <c r="F28" s="92"/>
      <c r="G28" s="92"/>
      <c r="H28" s="92"/>
      <c r="I28" s="92"/>
      <c r="J28" s="34">
        <f>SUM(I13:I27)</f>
        <v>6920</v>
      </c>
    </row>
    <row r="29" spans="1:243" ht="15" customHeight="1">
      <c r="A29" s="86" t="s">
        <v>31</v>
      </c>
      <c r="B29" s="87"/>
      <c r="C29" s="87"/>
      <c r="D29" s="87"/>
      <c r="E29" s="87"/>
      <c r="F29" s="87"/>
      <c r="G29" s="87"/>
      <c r="H29" s="87"/>
      <c r="I29" s="87"/>
      <c r="J29" s="35">
        <f>SUM(F13:F25)</f>
        <v>253</v>
      </c>
    </row>
    <row r="30" spans="1:243" ht="15" customHeight="1">
      <c r="A30" s="106" t="s">
        <v>32</v>
      </c>
      <c r="B30" s="107"/>
      <c r="C30" s="107"/>
      <c r="D30" s="107"/>
      <c r="E30" s="107"/>
      <c r="F30" s="107"/>
      <c r="G30" s="107"/>
      <c r="H30" s="107"/>
      <c r="I30" s="107"/>
      <c r="J30" s="107"/>
    </row>
    <row r="31" spans="1:243" ht="25" customHeight="1">
      <c r="A31" s="98" t="s">
        <v>17</v>
      </c>
      <c r="B31" s="99"/>
      <c r="C31" s="99"/>
      <c r="D31" s="99"/>
      <c r="E31" s="10" t="s">
        <v>18</v>
      </c>
      <c r="F31" s="10" t="s">
        <v>19</v>
      </c>
      <c r="G31" s="10" t="s">
        <v>20</v>
      </c>
      <c r="H31" s="10" t="s">
        <v>21</v>
      </c>
      <c r="I31" s="10" t="s">
        <v>22</v>
      </c>
      <c r="J31" s="10"/>
    </row>
    <row r="32" spans="1:243" ht="15" customHeight="1">
      <c r="A32" s="100" t="s">
        <v>33</v>
      </c>
      <c r="B32" s="101"/>
      <c r="C32" s="101"/>
      <c r="D32" s="102"/>
      <c r="E32" s="20">
        <v>500</v>
      </c>
      <c r="F32" s="12"/>
      <c r="G32" s="20">
        <v>100</v>
      </c>
      <c r="H32" s="20">
        <f>$D$10/2</f>
        <v>5</v>
      </c>
      <c r="I32" s="12">
        <f t="shared" ref="I32:I36" si="8">G32*H32</f>
        <v>500</v>
      </c>
      <c r="J32" s="28"/>
    </row>
    <row r="33" spans="1:18" ht="15" customHeight="1">
      <c r="A33" s="100" t="s">
        <v>41</v>
      </c>
      <c r="B33" s="101"/>
      <c r="C33" s="101"/>
      <c r="D33" s="102"/>
      <c r="E33" s="20">
        <v>500</v>
      </c>
      <c r="F33" s="12">
        <f>H33*E33/$D$10</f>
        <v>50</v>
      </c>
      <c r="G33" s="20">
        <v>1400</v>
      </c>
      <c r="H33" s="20">
        <f>$D$10*0.1</f>
        <v>1</v>
      </c>
      <c r="I33" s="12">
        <f t="shared" si="8"/>
        <v>1400</v>
      </c>
      <c r="J33" s="28"/>
    </row>
    <row r="34" spans="1:18" ht="15" customHeight="1">
      <c r="A34" s="100" t="s">
        <v>68</v>
      </c>
      <c r="B34" s="101"/>
      <c r="C34" s="101"/>
      <c r="D34" s="102"/>
      <c r="E34" s="20">
        <v>500</v>
      </c>
      <c r="F34" s="41">
        <f t="shared" ref="F34:F36" si="9">H34*E34/$D$10</f>
        <v>50</v>
      </c>
      <c r="G34" s="20">
        <v>1400</v>
      </c>
      <c r="H34" s="20">
        <f t="shared" ref="H34:H36" si="10">$D$10*0.1</f>
        <v>1</v>
      </c>
      <c r="I34" s="41">
        <f t="shared" si="8"/>
        <v>1400</v>
      </c>
      <c r="J34" s="28"/>
    </row>
    <row r="35" spans="1:18" ht="15" customHeight="1">
      <c r="A35" s="88" t="s">
        <v>42</v>
      </c>
      <c r="B35" s="89"/>
      <c r="C35" s="89"/>
      <c r="D35" s="90"/>
      <c r="E35" s="20">
        <v>500</v>
      </c>
      <c r="F35" s="41">
        <f t="shared" si="9"/>
        <v>50</v>
      </c>
      <c r="G35" s="20">
        <v>1400</v>
      </c>
      <c r="H35" s="20">
        <f t="shared" si="10"/>
        <v>1</v>
      </c>
      <c r="I35" s="41">
        <f t="shared" si="8"/>
        <v>1400</v>
      </c>
      <c r="J35" s="28"/>
    </row>
    <row r="36" spans="1:18" ht="15" customHeight="1">
      <c r="A36" s="88" t="s">
        <v>43</v>
      </c>
      <c r="B36" s="89"/>
      <c r="C36" s="89"/>
      <c r="D36" s="90"/>
      <c r="E36" s="20">
        <v>500</v>
      </c>
      <c r="F36" s="41">
        <f t="shared" si="9"/>
        <v>50</v>
      </c>
      <c r="G36" s="20">
        <v>1400</v>
      </c>
      <c r="H36" s="20">
        <f t="shared" si="10"/>
        <v>1</v>
      </c>
      <c r="I36" s="41">
        <f t="shared" si="8"/>
        <v>1400</v>
      </c>
      <c r="J36" s="28"/>
    </row>
    <row r="37" spans="1:18" ht="15" customHeight="1">
      <c r="A37" s="91" t="s">
        <v>34</v>
      </c>
      <c r="B37" s="92"/>
      <c r="C37" s="92"/>
      <c r="D37" s="92"/>
      <c r="E37" s="92"/>
      <c r="F37" s="92"/>
      <c r="G37" s="92"/>
      <c r="H37" s="92"/>
      <c r="I37" s="92"/>
      <c r="J37" s="36">
        <f>SUM(I32:I36)</f>
        <v>6100</v>
      </c>
    </row>
    <row r="38" spans="1:18" ht="15" customHeight="1">
      <c r="A38" s="91" t="s">
        <v>35</v>
      </c>
      <c r="B38" s="92"/>
      <c r="C38" s="92"/>
      <c r="D38" s="92"/>
      <c r="E38" s="92"/>
      <c r="F38" s="92"/>
      <c r="G38" s="92"/>
      <c r="H38" s="92"/>
      <c r="I38" s="92"/>
      <c r="J38" s="36">
        <f>SUM(J28,J37)</f>
        <v>13020</v>
      </c>
    </row>
    <row r="39" spans="1:18" ht="15" customHeight="1">
      <c r="A39" s="86" t="s">
        <v>36</v>
      </c>
      <c r="B39" s="87"/>
      <c r="C39" s="87"/>
      <c r="D39" s="87"/>
      <c r="E39" s="87"/>
      <c r="F39" s="87"/>
      <c r="G39" s="87"/>
      <c r="H39" s="87"/>
      <c r="I39" s="87"/>
      <c r="J39" s="37">
        <f>J38/D10</f>
        <v>1302</v>
      </c>
    </row>
    <row r="40" spans="1:18" ht="15" customHeight="1">
      <c r="A40" s="93" t="s">
        <v>49</v>
      </c>
      <c r="B40" s="94"/>
      <c r="C40" s="94"/>
      <c r="D40" s="94"/>
      <c r="E40" s="94"/>
      <c r="F40" s="94"/>
      <c r="G40" s="94"/>
      <c r="H40" s="94"/>
      <c r="I40" s="95"/>
      <c r="J40" s="36">
        <v>8800</v>
      </c>
      <c r="K40" s="46"/>
      <c r="L40" s="47"/>
      <c r="M40" s="47"/>
      <c r="N40" s="47"/>
      <c r="O40" s="47"/>
      <c r="P40" s="47"/>
      <c r="Q40" s="47"/>
      <c r="R40" s="47"/>
    </row>
    <row r="41" spans="1:18" ht="15" customHeight="1">
      <c r="A41" s="93" t="s">
        <v>48</v>
      </c>
      <c r="B41" s="94"/>
      <c r="C41" s="94"/>
      <c r="D41" s="94"/>
      <c r="E41" s="94"/>
      <c r="F41" s="94"/>
      <c r="G41" s="94"/>
      <c r="H41" s="94"/>
      <c r="I41" s="95"/>
      <c r="J41" s="36"/>
      <c r="K41" s="82"/>
      <c r="L41" s="83"/>
      <c r="M41" s="83"/>
      <c r="N41" s="83"/>
      <c r="O41" s="83"/>
      <c r="P41" s="83"/>
      <c r="Q41" s="83"/>
      <c r="R41" s="83"/>
    </row>
    <row r="42" spans="1:18" ht="15" customHeight="1">
      <c r="A42" s="84" t="s">
        <v>37</v>
      </c>
      <c r="B42" s="85"/>
      <c r="C42" s="85"/>
      <c r="D42" s="85"/>
      <c r="E42" s="85"/>
      <c r="F42" s="85"/>
      <c r="G42" s="85"/>
      <c r="H42" s="85"/>
      <c r="I42" s="85"/>
      <c r="J42" s="38">
        <f>J38+J40+J41</f>
        <v>21820</v>
      </c>
      <c r="K42" s="44"/>
      <c r="L42" s="45"/>
      <c r="M42" s="45"/>
      <c r="N42" s="45"/>
      <c r="O42" s="45"/>
      <c r="P42" s="45"/>
    </row>
    <row r="43" spans="1:18" ht="15" customHeight="1">
      <c r="A43" s="86" t="s">
        <v>38</v>
      </c>
      <c r="B43" s="87"/>
      <c r="C43" s="87"/>
      <c r="D43" s="87"/>
      <c r="E43" s="87"/>
      <c r="F43" s="87"/>
      <c r="G43" s="87"/>
      <c r="H43" s="87"/>
      <c r="I43" s="87"/>
      <c r="J43" s="39">
        <f>J42/$D$10</f>
        <v>2182</v>
      </c>
      <c r="K43" s="44"/>
      <c r="L43" s="45"/>
      <c r="M43" s="45"/>
      <c r="N43" s="45"/>
      <c r="O43" s="45"/>
      <c r="P43" s="45"/>
    </row>
  </sheetData>
  <mergeCells count="57">
    <mergeCell ref="A41:I41"/>
    <mergeCell ref="A40:I40"/>
    <mergeCell ref="A1:C1"/>
    <mergeCell ref="E1:J1"/>
    <mergeCell ref="A2:C2"/>
    <mergeCell ref="I2:J2"/>
    <mergeCell ref="A3:C3"/>
    <mergeCell ref="I3:J4"/>
    <mergeCell ref="A5:J5"/>
    <mergeCell ref="F6:H6"/>
    <mergeCell ref="A8:C8"/>
    <mergeCell ref="D8:E8"/>
    <mergeCell ref="I8:J8"/>
    <mergeCell ref="B9:C9"/>
    <mergeCell ref="G9:H9"/>
    <mergeCell ref="I9:J9"/>
    <mergeCell ref="B10:C10"/>
    <mergeCell ref="G10:H10"/>
    <mergeCell ref="I10:J10"/>
    <mergeCell ref="A22:D22"/>
    <mergeCell ref="A23:J23"/>
    <mergeCell ref="A13:J13"/>
    <mergeCell ref="A14:D14"/>
    <mergeCell ref="A17:D17"/>
    <mergeCell ref="A18:J18"/>
    <mergeCell ref="A19:D19"/>
    <mergeCell ref="A16:D16"/>
    <mergeCell ref="A11:D11"/>
    <mergeCell ref="E11:H11"/>
    <mergeCell ref="I11:J11"/>
    <mergeCell ref="A12:D12"/>
    <mergeCell ref="E12:H12"/>
    <mergeCell ref="I12:J12"/>
    <mergeCell ref="A42:I42"/>
    <mergeCell ref="A43:I43"/>
    <mergeCell ref="D6:E7"/>
    <mergeCell ref="I6:J7"/>
    <mergeCell ref="A6:C7"/>
    <mergeCell ref="A15:D15"/>
    <mergeCell ref="A29:I29"/>
    <mergeCell ref="A30:J30"/>
    <mergeCell ref="A31:D31"/>
    <mergeCell ref="A32:D32"/>
    <mergeCell ref="A33:D33"/>
    <mergeCell ref="A35:D35"/>
    <mergeCell ref="A27:D27"/>
    <mergeCell ref="A28:I28"/>
    <mergeCell ref="A37:I37"/>
    <mergeCell ref="A38:I38"/>
    <mergeCell ref="A39:I39"/>
    <mergeCell ref="A34:D34"/>
    <mergeCell ref="A36:D36"/>
    <mergeCell ref="A20:D20"/>
    <mergeCell ref="A21:J21"/>
    <mergeCell ref="A26:J26"/>
    <mergeCell ref="A25:D25"/>
    <mergeCell ref="A24:D24"/>
  </mergeCells>
  <pageMargins left="0.23622047244094491" right="0.23622047244094491" top="0.39370078740157483" bottom="0.39370078740157483" header="0.31496062992125984" footer="0.31496062992125984"/>
  <pageSetup paperSize="9" orientation="portrait" r:id="rId1"/>
  <headerFooter>
    <oddFooter>&amp;L&amp;"Helvetica,Regular"&amp;11&amp;K000000	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95DA9-8B5C-40A7-94D1-CBCD70672D4A}">
  <dimension ref="A1:I39"/>
  <sheetViews>
    <sheetView tabSelected="1" topLeftCell="A25" zoomScale="160" zoomScaleNormal="160" workbookViewId="0">
      <selection activeCell="A26" sqref="A26:G26"/>
    </sheetView>
  </sheetViews>
  <sheetFormatPr defaultColWidth="9.06640625" defaultRowHeight="18.5"/>
  <cols>
    <col min="1" max="7" width="9.59765625" style="50" customWidth="1"/>
    <col min="8" max="16384" width="9.06640625" style="50"/>
  </cols>
  <sheetData>
    <row r="1" spans="1:8" ht="38" customHeight="1">
      <c r="A1" s="136" t="s">
        <v>53</v>
      </c>
      <c r="B1" s="136"/>
      <c r="C1" s="136"/>
      <c r="D1" s="136"/>
      <c r="E1" s="136"/>
      <c r="F1" s="136"/>
      <c r="G1" s="136"/>
    </row>
    <row r="2" spans="1:8" ht="18" customHeight="1">
      <c r="A2" s="64"/>
      <c r="B2" s="142" t="s">
        <v>64</v>
      </c>
      <c r="C2" s="142"/>
      <c r="D2" s="142"/>
      <c r="E2" s="142"/>
      <c r="F2" s="142"/>
      <c r="G2" s="64"/>
    </row>
    <row r="3" spans="1:8" ht="18" customHeight="1">
      <c r="A3" s="64"/>
      <c r="B3" s="142"/>
      <c r="C3" s="142"/>
      <c r="D3" s="142"/>
      <c r="E3" s="142"/>
      <c r="F3" s="142"/>
      <c r="G3" s="64"/>
    </row>
    <row r="4" spans="1:8" ht="18" customHeight="1">
      <c r="A4" s="65"/>
      <c r="B4" s="143"/>
      <c r="C4" s="143"/>
      <c r="D4" s="143"/>
      <c r="E4" s="143"/>
      <c r="F4" s="143"/>
      <c r="G4" s="65"/>
    </row>
    <row r="5" spans="1:8" ht="18" customHeight="1">
      <c r="A5" s="144"/>
      <c r="B5" s="144"/>
      <c r="C5" s="144"/>
      <c r="D5" s="144"/>
      <c r="E5" s="144"/>
      <c r="F5" s="144"/>
      <c r="G5" s="144"/>
    </row>
    <row r="6" spans="1:8" ht="18" customHeight="1">
      <c r="A6" s="58"/>
      <c r="B6" s="58"/>
      <c r="C6" s="59"/>
      <c r="D6" s="59"/>
      <c r="E6" s="60"/>
      <c r="F6" s="60"/>
      <c r="G6" s="60"/>
    </row>
    <row r="7" spans="1:8" ht="18" customHeight="1">
      <c r="A7" s="141" t="s">
        <v>63</v>
      </c>
      <c r="B7" s="141"/>
      <c r="C7" s="141"/>
      <c r="D7" s="141"/>
      <c r="E7" s="141"/>
      <c r="F7" s="141"/>
      <c r="G7" s="141"/>
    </row>
    <row r="8" spans="1:8" ht="18" customHeight="1">
      <c r="A8" s="141" t="s">
        <v>54</v>
      </c>
      <c r="B8" s="141"/>
      <c r="C8" s="141"/>
      <c r="D8" s="141"/>
      <c r="E8" s="141"/>
      <c r="F8" s="141"/>
      <c r="G8" s="141"/>
    </row>
    <row r="9" spans="1:8" ht="18" customHeight="1">
      <c r="A9" s="141" t="s">
        <v>57</v>
      </c>
      <c r="B9" s="141"/>
      <c r="C9" s="141"/>
      <c r="D9" s="141"/>
      <c r="E9" s="141"/>
      <c r="F9" s="141"/>
      <c r="G9" s="141"/>
    </row>
    <row r="10" spans="1:8" ht="18" customHeight="1">
      <c r="A10" s="141" t="s">
        <v>55</v>
      </c>
      <c r="B10" s="141"/>
      <c r="C10" s="141"/>
      <c r="D10" s="141"/>
      <c r="E10" s="141"/>
      <c r="F10" s="141"/>
      <c r="G10" s="141"/>
    </row>
    <row r="11" spans="1:8" ht="18" customHeight="1">
      <c r="A11" s="141" t="s">
        <v>58</v>
      </c>
      <c r="B11" s="141"/>
      <c r="C11" s="141"/>
      <c r="D11" s="141"/>
      <c r="E11" s="141"/>
      <c r="F11" s="141"/>
      <c r="G11" s="141"/>
    </row>
    <row r="12" spans="1:8" ht="18" customHeight="1">
      <c r="A12" s="141" t="s">
        <v>56</v>
      </c>
      <c r="B12" s="141"/>
      <c r="C12" s="141"/>
      <c r="D12" s="141"/>
      <c r="E12" s="141"/>
      <c r="F12" s="141"/>
      <c r="G12" s="141"/>
    </row>
    <row r="13" spans="1:8" ht="18" customHeight="1">
      <c r="A13" s="141" t="s">
        <v>59</v>
      </c>
      <c r="B13" s="141"/>
      <c r="C13" s="141"/>
      <c r="D13" s="141"/>
      <c r="E13" s="141"/>
      <c r="F13" s="141"/>
      <c r="G13" s="141"/>
    </row>
    <row r="14" spans="1:8" ht="18" customHeight="1">
      <c r="A14" s="141" t="s">
        <v>60</v>
      </c>
      <c r="B14" s="141"/>
      <c r="C14" s="141"/>
      <c r="D14" s="141"/>
      <c r="E14" s="141"/>
      <c r="F14" s="141"/>
      <c r="G14" s="141"/>
    </row>
    <row r="15" spans="1:8" ht="18" customHeight="1">
      <c r="A15" s="54"/>
      <c r="B15" s="54"/>
      <c r="C15" s="54"/>
      <c r="D15" s="54"/>
      <c r="E15" s="54"/>
      <c r="F15" s="54"/>
      <c r="G15" s="54"/>
    </row>
    <row r="16" spans="1:8" ht="18" customHeight="1">
      <c r="A16" s="53"/>
      <c r="B16" s="53"/>
      <c r="C16" s="53"/>
      <c r="D16" s="53"/>
      <c r="E16" s="53"/>
      <c r="F16" s="53"/>
      <c r="G16" s="53"/>
      <c r="H16" s="61"/>
    </row>
    <row r="17" spans="1:9" s="55" customFormat="1" ht="28" customHeight="1">
      <c r="A17" s="145" t="s">
        <v>61</v>
      </c>
      <c r="B17" s="145"/>
      <c r="C17" s="145"/>
      <c r="D17" s="145"/>
      <c r="E17" s="145"/>
      <c r="F17" s="145"/>
      <c r="G17" s="145"/>
    </row>
    <row r="18" spans="1:9" s="55" customFormat="1" ht="28" customHeight="1">
      <c r="A18" s="145" t="s">
        <v>51</v>
      </c>
      <c r="B18" s="145"/>
      <c r="C18" s="145"/>
      <c r="D18" s="145"/>
      <c r="E18" s="145"/>
      <c r="F18" s="145"/>
      <c r="G18" s="145"/>
    </row>
    <row r="19" spans="1:9" ht="18" customHeight="1">
      <c r="A19" s="148"/>
      <c r="B19" s="148"/>
      <c r="C19" s="148"/>
      <c r="D19" s="148"/>
      <c r="E19" s="148"/>
      <c r="F19" s="148"/>
      <c r="G19" s="148"/>
    </row>
    <row r="20" spans="1:9" ht="18" customHeight="1">
      <c r="A20" s="139" t="s">
        <v>39</v>
      </c>
      <c r="B20" s="139"/>
      <c r="C20" s="139"/>
      <c r="D20" s="139"/>
      <c r="E20" s="139"/>
      <c r="F20" s="139"/>
      <c r="G20" s="139"/>
    </row>
    <row r="21" spans="1:9" ht="18" customHeight="1">
      <c r="A21" s="63"/>
      <c r="B21" s="63"/>
      <c r="C21" s="63"/>
      <c r="D21" s="63"/>
      <c r="E21" s="63"/>
      <c r="F21" s="63"/>
      <c r="G21" s="63"/>
    </row>
    <row r="22" spans="1:9" ht="18" customHeight="1">
      <c r="A22" s="138" t="s">
        <v>65</v>
      </c>
      <c r="B22" s="138"/>
      <c r="C22" s="138"/>
      <c r="D22" s="138"/>
      <c r="E22" s="138"/>
      <c r="F22" s="138"/>
      <c r="G22" s="138"/>
    </row>
    <row r="23" spans="1:9" ht="18" customHeight="1">
      <c r="A23" s="62"/>
      <c r="B23" s="62"/>
      <c r="C23" s="62"/>
      <c r="D23" s="62"/>
      <c r="E23" s="62"/>
      <c r="F23" s="62"/>
      <c r="G23" s="62"/>
    </row>
    <row r="24" spans="1:9" ht="18" customHeight="1">
      <c r="A24" s="140" t="s">
        <v>66</v>
      </c>
      <c r="B24" s="140"/>
      <c r="C24" s="140"/>
      <c r="D24" s="140"/>
      <c r="E24" s="140"/>
      <c r="F24" s="140"/>
      <c r="G24" s="140"/>
    </row>
    <row r="25" spans="1:9" ht="18" customHeight="1">
      <c r="A25" s="51"/>
      <c r="B25" s="51"/>
      <c r="C25" s="51"/>
      <c r="D25" s="51"/>
      <c r="E25" s="51"/>
      <c r="F25" s="51"/>
      <c r="G25" s="51"/>
      <c r="I25" s="56"/>
    </row>
    <row r="26" spans="1:9" ht="36" customHeight="1">
      <c r="A26" s="139" t="s">
        <v>79</v>
      </c>
      <c r="B26" s="139"/>
      <c r="C26" s="139"/>
      <c r="D26" s="139"/>
      <c r="E26" s="139"/>
      <c r="F26" s="139"/>
      <c r="G26" s="139"/>
    </row>
    <row r="27" spans="1:9" ht="18" customHeight="1">
      <c r="A27" s="52"/>
      <c r="B27" s="52"/>
      <c r="C27" s="52"/>
      <c r="D27" s="52"/>
      <c r="E27" s="52"/>
      <c r="F27" s="52"/>
      <c r="G27" s="52"/>
    </row>
    <row r="28" spans="1:9" ht="18" customHeight="1">
      <c r="A28" s="139" t="s">
        <v>62</v>
      </c>
      <c r="B28" s="139"/>
      <c r="C28" s="139"/>
      <c r="D28" s="139"/>
      <c r="E28" s="139"/>
      <c r="F28" s="139"/>
      <c r="G28" s="139"/>
    </row>
    <row r="29" spans="1:9" ht="18" customHeight="1"/>
    <row r="30" spans="1:9" ht="18" customHeight="1">
      <c r="A30" s="139" t="s">
        <v>69</v>
      </c>
      <c r="B30" s="139"/>
      <c r="C30" s="139"/>
      <c r="D30" s="139"/>
      <c r="E30" s="139"/>
      <c r="F30" s="139"/>
      <c r="G30" s="139"/>
    </row>
    <row r="31" spans="1:9" ht="18" customHeight="1">
      <c r="A31" s="137" t="s">
        <v>50</v>
      </c>
      <c r="B31" s="137"/>
      <c r="C31" s="137"/>
      <c r="D31" s="137"/>
      <c r="E31" s="137"/>
      <c r="F31" s="137"/>
      <c r="G31" s="137"/>
    </row>
    <row r="32" spans="1:9" ht="18" customHeight="1">
      <c r="A32" s="150"/>
      <c r="B32" s="150"/>
      <c r="C32" s="150"/>
      <c r="D32" s="150"/>
      <c r="E32" s="150"/>
      <c r="F32" s="150"/>
      <c r="G32" s="150"/>
    </row>
    <row r="33" spans="1:7" ht="18" customHeight="1">
      <c r="A33" s="57"/>
      <c r="B33" s="57"/>
      <c r="C33" s="57"/>
      <c r="D33" s="57"/>
      <c r="E33" s="57"/>
      <c r="F33" s="57"/>
      <c r="G33" s="57"/>
    </row>
    <row r="34" spans="1:7" ht="28" customHeight="1">
      <c r="A34" s="149" t="s">
        <v>76</v>
      </c>
      <c r="B34" s="149"/>
      <c r="C34" s="149"/>
      <c r="D34" s="149"/>
      <c r="E34" s="149"/>
      <c r="F34" s="149"/>
      <c r="G34" s="149"/>
    </row>
    <row r="35" spans="1:7" ht="18" customHeight="1">
      <c r="A35" s="146" t="s">
        <v>52</v>
      </c>
      <c r="B35" s="146"/>
      <c r="C35" s="146"/>
      <c r="D35" s="146"/>
      <c r="E35" s="147" t="s">
        <v>67</v>
      </c>
      <c r="F35" s="147"/>
      <c r="G35" s="147"/>
    </row>
    <row r="36" spans="1:7" ht="18" customHeight="1">
      <c r="A36" s="66"/>
      <c r="B36" s="66"/>
      <c r="C36" s="66"/>
      <c r="D36" s="66"/>
      <c r="E36" s="66"/>
      <c r="F36" s="66"/>
      <c r="G36" s="66"/>
    </row>
    <row r="37" spans="1:7" ht="18" customHeight="1">
      <c r="A37" s="68"/>
      <c r="B37" s="68"/>
      <c r="C37" s="68"/>
      <c r="D37" s="68"/>
      <c r="E37" s="68"/>
      <c r="F37" s="68"/>
      <c r="G37" s="68"/>
    </row>
    <row r="38" spans="1:7">
      <c r="A38" s="67"/>
      <c r="B38" s="67"/>
      <c r="C38" s="67"/>
      <c r="D38" s="67"/>
      <c r="E38" s="67"/>
      <c r="F38" s="67"/>
      <c r="G38" s="67"/>
    </row>
    <row r="39" spans="1:7">
      <c r="A39" s="66"/>
      <c r="B39" s="66"/>
      <c r="C39" s="66"/>
      <c r="D39" s="66"/>
      <c r="E39" s="66"/>
      <c r="F39" s="66"/>
      <c r="G39" s="66"/>
    </row>
  </sheetData>
  <mergeCells count="25">
    <mergeCell ref="A20:G20"/>
    <mergeCell ref="A10:G10"/>
    <mergeCell ref="A17:G17"/>
    <mergeCell ref="A35:D35"/>
    <mergeCell ref="E35:G35"/>
    <mergeCell ref="A18:G18"/>
    <mergeCell ref="A19:G19"/>
    <mergeCell ref="A34:G34"/>
    <mergeCell ref="A32:G32"/>
    <mergeCell ref="A1:G1"/>
    <mergeCell ref="A31:G31"/>
    <mergeCell ref="A22:G22"/>
    <mergeCell ref="A30:G30"/>
    <mergeCell ref="A24:G24"/>
    <mergeCell ref="A26:G26"/>
    <mergeCell ref="A28:G28"/>
    <mergeCell ref="A11:G11"/>
    <mergeCell ref="A12:G12"/>
    <mergeCell ref="A13:G13"/>
    <mergeCell ref="A14:G14"/>
    <mergeCell ref="B2:F4"/>
    <mergeCell ref="A5:G5"/>
    <mergeCell ref="A7:G7"/>
    <mergeCell ref="A8:G8"/>
    <mergeCell ref="A9:G9"/>
  </mergeCells>
  <pageMargins left="0.39370078740157483" right="0.39370078740157483" top="0.39370078740157483" bottom="0.39370078740157483" header="0.31496062992125984" footer="0.31496062992125984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на 1 человека</vt:lpstr>
      <vt:lpstr>Просчет</vt:lpstr>
      <vt:lpstr>рекламка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DirVanil</dc:creator>
  <cp:lastModifiedBy>Фуртиков Илья</cp:lastModifiedBy>
  <cp:lastPrinted>2026-02-25T14:14:02Z</cp:lastPrinted>
  <dcterms:created xsi:type="dcterms:W3CDTF">2015-08-21T15:05:00Z</dcterms:created>
  <dcterms:modified xsi:type="dcterms:W3CDTF">2026-02-27T08:41:17Z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3AA58AD02BFC4A52B482ED37DC4B3E0D_12</vt:lpwstr>
  </property>
  <property fmtid="{D5CDD505-2E9C-101B-9397-08002B2CF9AE}" pid="3" name="KSOProductBuildVer">
    <vt:lpwstr>1049-12.2.0.23131</vt:lpwstr>
  </property>
</Properties>
</file>