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\\ad.yarvolga.ru\files\Office work\Банкетный менеджер\2026\Кейтеринг\"/>
    </mc:Choice>
  </mc:AlternateContent>
  <xr:revisionPtr revIDLastSave="0" documentId="13_ncr:1_{0AF09CE6-FA4E-43B3-8CCF-CB97C32F81F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Лист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00" i="1" l="1"/>
  <c r="I99" i="1"/>
  <c r="F100" i="1"/>
  <c r="F99" i="1"/>
  <c r="I98" i="1"/>
  <c r="F98" i="1"/>
  <c r="I90" i="1"/>
  <c r="I91" i="1"/>
  <c r="I92" i="1"/>
  <c r="I93" i="1"/>
  <c r="I94" i="1"/>
  <c r="I95" i="1"/>
  <c r="I96" i="1"/>
  <c r="F90" i="1"/>
  <c r="F91" i="1"/>
  <c r="F92" i="1"/>
  <c r="F93" i="1"/>
  <c r="F94" i="1"/>
  <c r="F95" i="1"/>
  <c r="F96" i="1"/>
  <c r="F142" i="1"/>
  <c r="I142" i="1"/>
  <c r="I141" i="1"/>
  <c r="F141" i="1"/>
  <c r="I140" i="1"/>
  <c r="F140" i="1"/>
  <c r="I120" i="1"/>
  <c r="I121" i="1"/>
  <c r="F120" i="1"/>
  <c r="F121" i="1"/>
  <c r="I85" i="1"/>
  <c r="F85" i="1"/>
  <c r="I139" i="1"/>
  <c r="F139" i="1"/>
  <c r="I79" i="1"/>
  <c r="I80" i="1"/>
  <c r="I81" i="1"/>
  <c r="I82" i="1"/>
  <c r="I83" i="1"/>
  <c r="I84" i="1"/>
  <c r="F79" i="1"/>
  <c r="F80" i="1"/>
  <c r="F81" i="1"/>
  <c r="F82" i="1"/>
  <c r="F83" i="1"/>
  <c r="F84" i="1"/>
  <c r="I302" i="1"/>
  <c r="I301" i="1"/>
  <c r="I300" i="1"/>
  <c r="I299" i="1"/>
  <c r="I298" i="1"/>
  <c r="I297" i="1"/>
  <c r="I296" i="1"/>
  <c r="I295" i="1"/>
  <c r="I290" i="1"/>
  <c r="F290" i="1"/>
  <c r="I289" i="1"/>
  <c r="F289" i="1"/>
  <c r="I287" i="1"/>
  <c r="F287" i="1"/>
  <c r="I286" i="1"/>
  <c r="F286" i="1"/>
  <c r="I285" i="1"/>
  <c r="F285" i="1"/>
  <c r="I284" i="1"/>
  <c r="F284" i="1"/>
  <c r="I283" i="1"/>
  <c r="F283" i="1"/>
  <c r="I282" i="1"/>
  <c r="F282" i="1"/>
  <c r="I281" i="1"/>
  <c r="F281" i="1"/>
  <c r="I280" i="1"/>
  <c r="F280" i="1"/>
  <c r="I279" i="1"/>
  <c r="F279" i="1"/>
  <c r="I278" i="1"/>
  <c r="F278" i="1"/>
  <c r="I277" i="1"/>
  <c r="F277" i="1"/>
  <c r="I276" i="1"/>
  <c r="F276" i="1"/>
  <c r="I275" i="1"/>
  <c r="F275" i="1"/>
  <c r="I274" i="1"/>
  <c r="F274" i="1"/>
  <c r="I273" i="1"/>
  <c r="F273" i="1"/>
  <c r="I272" i="1"/>
  <c r="F272" i="1"/>
  <c r="I271" i="1"/>
  <c r="F271" i="1"/>
  <c r="I270" i="1"/>
  <c r="F270" i="1"/>
  <c r="I269" i="1"/>
  <c r="F269" i="1"/>
  <c r="I268" i="1"/>
  <c r="F268" i="1"/>
  <c r="I267" i="1"/>
  <c r="F267" i="1"/>
  <c r="I266" i="1"/>
  <c r="F266" i="1"/>
  <c r="I265" i="1"/>
  <c r="F265" i="1"/>
  <c r="I264" i="1"/>
  <c r="F264" i="1"/>
  <c r="I263" i="1"/>
  <c r="F263" i="1"/>
  <c r="I260" i="1"/>
  <c r="F260" i="1"/>
  <c r="I259" i="1"/>
  <c r="F259" i="1"/>
  <c r="I258" i="1"/>
  <c r="F258" i="1"/>
  <c r="I257" i="1"/>
  <c r="F257" i="1"/>
  <c r="I256" i="1"/>
  <c r="F256" i="1"/>
  <c r="I255" i="1"/>
  <c r="F255" i="1"/>
  <c r="I253" i="1"/>
  <c r="F253" i="1"/>
  <c r="I252" i="1"/>
  <c r="F252" i="1"/>
  <c r="I251" i="1"/>
  <c r="F251" i="1"/>
  <c r="I250" i="1"/>
  <c r="F250" i="1"/>
  <c r="I248" i="1"/>
  <c r="F248" i="1"/>
  <c r="I247" i="1"/>
  <c r="F247" i="1"/>
  <c r="I246" i="1"/>
  <c r="F246" i="1"/>
  <c r="I245" i="1"/>
  <c r="F245" i="1"/>
  <c r="I244" i="1"/>
  <c r="F244" i="1"/>
  <c r="I243" i="1"/>
  <c r="F243" i="1"/>
  <c r="I242" i="1"/>
  <c r="F242" i="1"/>
  <c r="I240" i="1"/>
  <c r="F240" i="1"/>
  <c r="I239" i="1"/>
  <c r="F239" i="1"/>
  <c r="I238" i="1"/>
  <c r="F238" i="1"/>
  <c r="I237" i="1"/>
  <c r="F237" i="1"/>
  <c r="I236" i="1"/>
  <c r="F236" i="1"/>
  <c r="I235" i="1"/>
  <c r="F235" i="1"/>
  <c r="I233" i="1"/>
  <c r="F233" i="1"/>
  <c r="I232" i="1"/>
  <c r="F232" i="1"/>
  <c r="I231" i="1"/>
  <c r="F231" i="1"/>
  <c r="I230" i="1"/>
  <c r="F230" i="1"/>
  <c r="I229" i="1"/>
  <c r="F229" i="1"/>
  <c r="I228" i="1"/>
  <c r="F228" i="1"/>
  <c r="I227" i="1"/>
  <c r="F227" i="1"/>
  <c r="I226" i="1"/>
  <c r="F226" i="1"/>
  <c r="I224" i="1"/>
  <c r="F224" i="1"/>
  <c r="I223" i="1"/>
  <c r="F223" i="1"/>
  <c r="I222" i="1"/>
  <c r="F222" i="1"/>
  <c r="I221" i="1"/>
  <c r="F221" i="1"/>
  <c r="I220" i="1"/>
  <c r="F220" i="1"/>
  <c r="I219" i="1"/>
  <c r="F219" i="1"/>
  <c r="I218" i="1"/>
  <c r="F218" i="1"/>
  <c r="I217" i="1"/>
  <c r="F217" i="1"/>
  <c r="I216" i="1"/>
  <c r="F216" i="1"/>
  <c r="I214" i="1"/>
  <c r="F214" i="1"/>
  <c r="I213" i="1"/>
  <c r="F213" i="1"/>
  <c r="I212" i="1"/>
  <c r="F212" i="1"/>
  <c r="I211" i="1"/>
  <c r="F211" i="1"/>
  <c r="I210" i="1"/>
  <c r="F210" i="1"/>
  <c r="I209" i="1"/>
  <c r="F209" i="1"/>
  <c r="I208" i="1"/>
  <c r="F208" i="1"/>
  <c r="I207" i="1"/>
  <c r="F207" i="1"/>
  <c r="I206" i="1"/>
  <c r="F206" i="1"/>
  <c r="I205" i="1"/>
  <c r="F205" i="1"/>
  <c r="I204" i="1"/>
  <c r="F204" i="1"/>
  <c r="I203" i="1"/>
  <c r="F203" i="1"/>
  <c r="I202" i="1"/>
  <c r="F202" i="1"/>
  <c r="I201" i="1"/>
  <c r="F201" i="1"/>
  <c r="I200" i="1"/>
  <c r="F200" i="1"/>
  <c r="I199" i="1"/>
  <c r="F199" i="1"/>
  <c r="I198" i="1"/>
  <c r="F198" i="1"/>
  <c r="I197" i="1"/>
  <c r="F197" i="1"/>
  <c r="I196" i="1"/>
  <c r="F196" i="1"/>
  <c r="I195" i="1"/>
  <c r="F195" i="1"/>
  <c r="I194" i="1"/>
  <c r="F194" i="1"/>
  <c r="I190" i="1"/>
  <c r="F190" i="1"/>
  <c r="I189" i="1"/>
  <c r="F189" i="1"/>
  <c r="I188" i="1"/>
  <c r="F188" i="1"/>
  <c r="I187" i="1"/>
  <c r="F187" i="1"/>
  <c r="I186" i="1"/>
  <c r="F186" i="1"/>
  <c r="I185" i="1"/>
  <c r="F185" i="1"/>
  <c r="I182" i="1"/>
  <c r="F182" i="1"/>
  <c r="I181" i="1"/>
  <c r="F181" i="1"/>
  <c r="I180" i="1"/>
  <c r="F180" i="1"/>
  <c r="I179" i="1"/>
  <c r="F179" i="1"/>
  <c r="I178" i="1"/>
  <c r="F178" i="1"/>
  <c r="I177" i="1"/>
  <c r="F177" i="1"/>
  <c r="I176" i="1"/>
  <c r="F176" i="1"/>
  <c r="I175" i="1"/>
  <c r="F175" i="1"/>
  <c r="I172" i="1"/>
  <c r="F172" i="1"/>
  <c r="I171" i="1"/>
  <c r="F171" i="1"/>
  <c r="I170" i="1"/>
  <c r="F170" i="1"/>
  <c r="I169" i="1"/>
  <c r="F169" i="1"/>
  <c r="I168" i="1"/>
  <c r="F168" i="1"/>
  <c r="I167" i="1"/>
  <c r="F167" i="1"/>
  <c r="I166" i="1"/>
  <c r="F166" i="1"/>
  <c r="I165" i="1"/>
  <c r="F165" i="1"/>
  <c r="I164" i="1"/>
  <c r="F164" i="1"/>
  <c r="I163" i="1"/>
  <c r="F163" i="1"/>
  <c r="I162" i="1"/>
  <c r="F162" i="1"/>
  <c r="I161" i="1"/>
  <c r="F161" i="1"/>
  <c r="I160" i="1"/>
  <c r="F160" i="1"/>
  <c r="I159" i="1"/>
  <c r="F159" i="1"/>
  <c r="I158" i="1"/>
  <c r="F158" i="1"/>
  <c r="I157" i="1"/>
  <c r="F157" i="1"/>
  <c r="I156" i="1"/>
  <c r="F156" i="1"/>
  <c r="I155" i="1"/>
  <c r="F155" i="1"/>
  <c r="I154" i="1"/>
  <c r="F154" i="1"/>
  <c r="I153" i="1"/>
  <c r="F153" i="1"/>
  <c r="I152" i="1"/>
  <c r="F152" i="1"/>
  <c r="I151" i="1"/>
  <c r="F151" i="1"/>
  <c r="I150" i="1"/>
  <c r="F150" i="1"/>
  <c r="I149" i="1"/>
  <c r="F149" i="1"/>
  <c r="I148" i="1"/>
  <c r="F148" i="1"/>
  <c r="I147" i="1"/>
  <c r="F147" i="1"/>
  <c r="I146" i="1"/>
  <c r="F146" i="1"/>
  <c r="I145" i="1"/>
  <c r="F145" i="1"/>
  <c r="I136" i="1"/>
  <c r="F136" i="1"/>
  <c r="I135" i="1"/>
  <c r="F135" i="1"/>
  <c r="I134" i="1"/>
  <c r="F134" i="1"/>
  <c r="I133" i="1"/>
  <c r="F133" i="1"/>
  <c r="I132" i="1"/>
  <c r="F132" i="1"/>
  <c r="I131" i="1"/>
  <c r="F131" i="1"/>
  <c r="I130" i="1"/>
  <c r="F130" i="1"/>
  <c r="I129" i="1"/>
  <c r="F129" i="1"/>
  <c r="I128" i="1"/>
  <c r="F128" i="1"/>
  <c r="I127" i="1"/>
  <c r="F127" i="1"/>
  <c r="I126" i="1"/>
  <c r="F126" i="1"/>
  <c r="I125" i="1"/>
  <c r="F125" i="1"/>
  <c r="I124" i="1"/>
  <c r="F124" i="1"/>
  <c r="I119" i="1"/>
  <c r="F119" i="1"/>
  <c r="I118" i="1"/>
  <c r="F118" i="1"/>
  <c r="I117" i="1"/>
  <c r="F117" i="1"/>
  <c r="I116" i="1"/>
  <c r="F116" i="1"/>
  <c r="I115" i="1"/>
  <c r="F115" i="1"/>
  <c r="I114" i="1"/>
  <c r="F114" i="1"/>
  <c r="I113" i="1"/>
  <c r="F113" i="1"/>
  <c r="I112" i="1"/>
  <c r="F112" i="1"/>
  <c r="I111" i="1"/>
  <c r="F111" i="1"/>
  <c r="I110" i="1"/>
  <c r="F110" i="1"/>
  <c r="I109" i="1"/>
  <c r="F109" i="1"/>
  <c r="I108" i="1"/>
  <c r="F108" i="1"/>
  <c r="I107" i="1"/>
  <c r="F107" i="1"/>
  <c r="I106" i="1"/>
  <c r="F106" i="1"/>
  <c r="I105" i="1"/>
  <c r="F105" i="1"/>
  <c r="I104" i="1"/>
  <c r="F104" i="1"/>
  <c r="I103" i="1"/>
  <c r="F103" i="1"/>
  <c r="I89" i="1"/>
  <c r="F89" i="1"/>
  <c r="I88" i="1"/>
  <c r="F88" i="1"/>
  <c r="I87" i="1"/>
  <c r="F87" i="1"/>
  <c r="I86" i="1"/>
  <c r="F86" i="1"/>
  <c r="I78" i="1"/>
  <c r="F78" i="1"/>
  <c r="I77" i="1"/>
  <c r="F77" i="1"/>
  <c r="I76" i="1"/>
  <c r="F76" i="1"/>
  <c r="I75" i="1"/>
  <c r="F75" i="1"/>
  <c r="I74" i="1"/>
  <c r="F74" i="1"/>
  <c r="I73" i="1"/>
  <c r="F73" i="1"/>
  <c r="I72" i="1"/>
  <c r="F72" i="1"/>
  <c r="I71" i="1"/>
  <c r="F71" i="1"/>
  <c r="I70" i="1"/>
  <c r="F70" i="1"/>
  <c r="I69" i="1"/>
  <c r="F69" i="1"/>
  <c r="I68" i="1"/>
  <c r="F68" i="1"/>
  <c r="I67" i="1"/>
  <c r="F67" i="1"/>
  <c r="I66" i="1"/>
  <c r="F66" i="1"/>
  <c r="I63" i="1"/>
  <c r="F63" i="1"/>
  <c r="I62" i="1"/>
  <c r="F62" i="1"/>
  <c r="I61" i="1"/>
  <c r="F61" i="1"/>
  <c r="I60" i="1"/>
  <c r="F60" i="1"/>
  <c r="I59" i="1"/>
  <c r="F59" i="1"/>
  <c r="I58" i="1"/>
  <c r="F58" i="1"/>
  <c r="I57" i="1"/>
  <c r="F57" i="1"/>
  <c r="I56" i="1"/>
  <c r="F56" i="1"/>
  <c r="I55" i="1"/>
  <c r="F55" i="1"/>
  <c r="I54" i="1"/>
  <c r="F54" i="1"/>
  <c r="I53" i="1"/>
  <c r="F53" i="1"/>
  <c r="I52" i="1"/>
  <c r="F52" i="1"/>
  <c r="I51" i="1"/>
  <c r="F51" i="1"/>
  <c r="I50" i="1"/>
  <c r="F50" i="1"/>
  <c r="I49" i="1"/>
  <c r="F49" i="1"/>
  <c r="I48" i="1"/>
  <c r="F48" i="1"/>
  <c r="I47" i="1"/>
  <c r="F47" i="1"/>
  <c r="I44" i="1"/>
  <c r="F44" i="1"/>
  <c r="I43" i="1"/>
  <c r="F43" i="1"/>
  <c r="I42" i="1"/>
  <c r="F42" i="1"/>
  <c r="I41" i="1"/>
  <c r="F41" i="1"/>
  <c r="I40" i="1"/>
  <c r="F40" i="1"/>
  <c r="I39" i="1"/>
  <c r="F39" i="1"/>
  <c r="I38" i="1"/>
  <c r="F38" i="1"/>
  <c r="I37" i="1"/>
  <c r="F37" i="1"/>
  <c r="I36" i="1"/>
  <c r="F36" i="1"/>
  <c r="I35" i="1"/>
  <c r="F35" i="1"/>
  <c r="I34" i="1"/>
  <c r="F34" i="1"/>
  <c r="I33" i="1"/>
  <c r="F33" i="1"/>
  <c r="I32" i="1"/>
  <c r="F32" i="1"/>
  <c r="I31" i="1"/>
  <c r="F31" i="1"/>
  <c r="I30" i="1"/>
  <c r="F30" i="1"/>
  <c r="I29" i="1"/>
  <c r="F29" i="1"/>
  <c r="I28" i="1"/>
  <c r="F28" i="1"/>
  <c r="I27" i="1"/>
  <c r="F27" i="1"/>
  <c r="I26" i="1"/>
  <c r="F26" i="1"/>
  <c r="I25" i="1"/>
  <c r="F25" i="1"/>
  <c r="I24" i="1"/>
  <c r="F24" i="1"/>
  <c r="I23" i="1"/>
  <c r="F23" i="1"/>
  <c r="I22" i="1"/>
  <c r="F22" i="1"/>
  <c r="I21" i="1"/>
  <c r="F21" i="1"/>
  <c r="I20" i="1"/>
  <c r="F20" i="1"/>
  <c r="I19" i="1"/>
  <c r="F19" i="1"/>
  <c r="I18" i="1"/>
  <c r="F18" i="1"/>
  <c r="I17" i="1"/>
  <c r="F17" i="1"/>
  <c r="I16" i="1"/>
  <c r="F16" i="1"/>
  <c r="I15" i="1"/>
  <c r="F15" i="1"/>
  <c r="J291" i="1" l="1"/>
  <c r="J303" i="1"/>
  <c r="J292" i="1"/>
  <c r="J304" i="1" l="1"/>
  <c r="J305" i="1" s="1"/>
  <c r="J307" i="1" l="1"/>
  <c r="J308" i="1" s="1"/>
</calcChain>
</file>

<file path=xl/sharedStrings.xml><?xml version="1.0" encoding="utf-8"?>
<sst xmlns="http://schemas.openxmlformats.org/spreadsheetml/2006/main" count="418" uniqueCount="310">
  <si>
    <t>Менеджер службы кейтеринга</t>
  </si>
  <si>
    <t>Мероприятие</t>
  </si>
  <si>
    <t xml:space="preserve">Тайминг </t>
  </si>
  <si>
    <t>Выбранный зал</t>
  </si>
  <si>
    <t xml:space="preserve">Сбор гостей </t>
  </si>
  <si>
    <t>Начало</t>
  </si>
  <si>
    <t>Окон чание</t>
  </si>
  <si>
    <t>Дата проведения</t>
  </si>
  <si>
    <t xml:space="preserve">Рассадка </t>
  </si>
  <si>
    <t xml:space="preserve">Кол-во </t>
  </si>
  <si>
    <t>Аванс</t>
  </si>
  <si>
    <t>Дата внесения</t>
  </si>
  <si>
    <t>Форма оплаты</t>
  </si>
  <si>
    <t>Контактный телефон</t>
  </si>
  <si>
    <t>ФИО заказчика/ наименование организации</t>
  </si>
  <si>
    <t>E-mail</t>
  </si>
  <si>
    <t xml:space="preserve">Примечания </t>
  </si>
  <si>
    <t>Коктейльные закуски</t>
  </si>
  <si>
    <t>Наименование</t>
  </si>
  <si>
    <t>Выход /гр</t>
  </si>
  <si>
    <t>Грамм /чел</t>
  </si>
  <si>
    <t>Цена</t>
  </si>
  <si>
    <t>Кол-во</t>
  </si>
  <si>
    <t>Сумма</t>
  </si>
  <si>
    <t>Канапе с сыром Камамбер и малиной</t>
  </si>
  <si>
    <t>Канапе с сыром Грюйер и голубикой</t>
  </si>
  <si>
    <t>Канапе с сыром Дор Блю и клубникой</t>
  </si>
  <si>
    <t>Канапе из винограда с ананасом</t>
  </si>
  <si>
    <t>Канапе из киви, клубники и ананаса</t>
  </si>
  <si>
    <t>Канапе из клубники с ананасом</t>
  </si>
  <si>
    <t>Канапе со сливочным сыром, пармой и печеной грушей</t>
  </si>
  <si>
    <t>Канапе с ростбифом, свежим огурцом и муссом из тунца</t>
  </si>
  <si>
    <t>Канапе из куриного филе  с беконом и мясным сыром</t>
  </si>
  <si>
    <t xml:space="preserve">Канапе с пармой, муссом из феты и рукколой </t>
  </si>
  <si>
    <t>Канапе с сыром и виноградом на шпажке</t>
  </si>
  <si>
    <t>Канапе из киви, мандарина и ананаса</t>
  </si>
  <si>
    <t>Канапе с креветкой и печеным перцем</t>
  </si>
  <si>
    <t xml:space="preserve">Канапе из моцарелы с вяленым томатом </t>
  </si>
  <si>
    <t xml:space="preserve">Блин розовый с вялеными томатами и сливочным сыром </t>
  </si>
  <si>
    <t xml:space="preserve">Канапе с рулетом из свинины с сыром и вялеными томатами </t>
  </si>
  <si>
    <t>Канапе из куриного рулета с печеным перцем и сыром</t>
  </si>
  <si>
    <t>Канапе с тунцом и творожным сыром</t>
  </si>
  <si>
    <t>Помидорка Черри с сыром мини Моцарелла на шпажке</t>
  </si>
  <si>
    <t xml:space="preserve">Помидорка Черри с огурцом </t>
  </si>
  <si>
    <t>Семга на хлебной палочке с соусом Песто и сыром пармезан</t>
  </si>
  <si>
    <t>Королевская креветка в томатном соусе</t>
  </si>
  <si>
    <t>Сельдь на ржаном  тосте</t>
  </si>
  <si>
    <t>Профитроли с муссом из семги</t>
  </si>
  <si>
    <t xml:space="preserve">Профитроли с паштетом из куриной печени </t>
  </si>
  <si>
    <t>Профитроли с грибным муссом</t>
  </si>
  <si>
    <t>Паштет из тунца с фисташками на бриоши</t>
  </si>
  <si>
    <t>Паштет из тунца в профитроле с икрой тобико</t>
  </si>
  <si>
    <t>сезон</t>
  </si>
  <si>
    <t>Канапе из буженины с соленым огурцом</t>
  </si>
  <si>
    <t>Сало на ржаном тостике</t>
  </si>
  <si>
    <t>Коктейльные десерты</t>
  </si>
  <si>
    <r>
      <rPr>
        <sz val="10"/>
        <color rgb="FF000000"/>
        <rFont val="Calibri"/>
        <family val="2"/>
        <charset val="204"/>
      </rPr>
      <t>Мини-эклеры</t>
    </r>
    <r>
      <rPr>
        <sz val="10"/>
        <color indexed="8"/>
        <rFont val="Calibri"/>
        <family val="2"/>
        <charset val="204"/>
      </rPr>
      <t>/ванильный, кофейный, манго, фисташка-малина, шоколадный, шоколадный с ореховой глазурью</t>
    </r>
  </si>
  <si>
    <t>Мини-пышка с брусникой</t>
  </si>
  <si>
    <r>
      <rPr>
        <sz val="10"/>
        <color rgb="FF000000"/>
        <rFont val="Calibri"/>
        <family val="2"/>
        <charset val="204"/>
      </rPr>
      <t>Мини-пышки</t>
    </r>
    <r>
      <rPr>
        <sz val="10"/>
        <color indexed="8"/>
        <rFont val="Calibri"/>
        <family val="2"/>
        <charset val="204"/>
      </rPr>
      <t xml:space="preserve"> / мясом, яйцом, яблоками</t>
    </r>
  </si>
  <si>
    <t>Десерт "Эстерхази"</t>
  </si>
  <si>
    <t>Десерт "Медовик карамельный"</t>
  </si>
  <si>
    <t>Десерт "Пражский"</t>
  </si>
  <si>
    <t>Десерт "Райская птичка"</t>
  </si>
  <si>
    <t>Корзиночка песочная мини с мандариновым мармеладом</t>
  </si>
  <si>
    <t>Корзиночка песочная мини лимонная</t>
  </si>
  <si>
    <t>Мини-капкейки в ассортименте/Лесная Ягода,Манго, с Сырным кремом/</t>
  </si>
  <si>
    <t>Макрони в ассортименте</t>
  </si>
  <si>
    <t>Трюфель с размарином</t>
  </si>
  <si>
    <t>Фирменный трюфель</t>
  </si>
  <si>
    <t>Ассорти конфет /белый шоколад с горганзолой, молочный шоколад с ореховым пралине, молочный шоколад с яблоком и корицей /</t>
  </si>
  <si>
    <t>Ассорти бон-бон /лимон, мохито, вишня, малина, манго-маракуйя, маракуйя и молочный шоколад/</t>
  </si>
  <si>
    <t xml:space="preserve">Мармелад </t>
  </si>
  <si>
    <t>Безе</t>
  </si>
  <si>
    <t>Фуршетные закуски</t>
  </si>
  <si>
    <t>Рулетики из семги с сыром Филадельфия</t>
  </si>
  <si>
    <t>Тигровая креветка с муссом из лимона</t>
  </si>
  <si>
    <t>Рафаэлло /Нежный паштет из цыпленка, огурцов и сыра "Рикотта" и "Грана Падано"/</t>
  </si>
  <si>
    <t>Рулет из печени со сливочным сыром и беконом</t>
  </si>
  <si>
    <t>Сербское мезе /копченый ростбиф с сырным кремом и черносливом/</t>
  </si>
  <si>
    <t>Мясная закуска из ростбифа, телячьего языка и кремом из сыра Филадельфия</t>
  </si>
  <si>
    <t xml:space="preserve">Брускетта с овощами и пармским окороком </t>
  </si>
  <si>
    <t xml:space="preserve">Брускетта с лососем, огурцом и кунжутом </t>
  </si>
  <si>
    <t>Брускетта с креветкой, творожный сыр,томаты,размарин,шпинат</t>
  </si>
  <si>
    <t>Профитроли с муссом из сома и чипсами из копченого сыра</t>
  </si>
  <si>
    <t>Эклер со сливочным сыром и тар-таром из лосося</t>
  </si>
  <si>
    <t>Смореброд с муссом из сома и чипсами из копченого сыра</t>
  </si>
  <si>
    <t>Эклер с куриным муссом и печеным перцем</t>
  </si>
  <si>
    <t>Круассан с лососем и творожным сыром</t>
  </si>
  <si>
    <t>Круассан с ветчиной и творожным</t>
  </si>
  <si>
    <t>Круассан с курицей и сладким соусом Чили</t>
  </si>
  <si>
    <t>Блинчик шпинатный с лососем и сыром "филадельфия"</t>
  </si>
  <si>
    <t>Нарезка</t>
  </si>
  <si>
    <t>Семга с\с</t>
  </si>
  <si>
    <t>Форель слабосолёная</t>
  </si>
  <si>
    <t>Угорь горячего копчения</t>
  </si>
  <si>
    <t>Масляная рыба</t>
  </si>
  <si>
    <t>Сыр "Камамбер"</t>
  </si>
  <si>
    <t>Сыр "Неро"</t>
  </si>
  <si>
    <t>Сыр "Пармезан"</t>
  </si>
  <si>
    <t>Сыр с голубой плесенью</t>
  </si>
  <si>
    <t>Сыр "Гауда"</t>
  </si>
  <si>
    <t>Сыр "Брилья Саварен"</t>
  </si>
  <si>
    <t>Сыр "Грюйер Патрис Норман"</t>
  </si>
  <si>
    <t>Язык отварной</t>
  </si>
  <si>
    <t>Рулет из курицы с беконом и печеным перцем</t>
  </si>
  <si>
    <t>Ветчина куриная пряная</t>
  </si>
  <si>
    <t>Рулет из свинины с беконом и шпинатом</t>
  </si>
  <si>
    <t>Грудинка свиная в луковых перьях</t>
  </si>
  <si>
    <t>Парма</t>
  </si>
  <si>
    <t>Салаты</t>
  </si>
  <si>
    <t xml:space="preserve">Салат "Греческий" </t>
  </si>
  <si>
    <t>Салат "Оливье" с телячьим языком</t>
  </si>
  <si>
    <t>Салат "Оливье По-русски" с раковыми шейками, икрой и пареной тыквой</t>
  </si>
  <si>
    <t>Салат "Винегрет"</t>
  </si>
  <si>
    <t>Салат "Виндерзорф" с сочной телятиной, болгарским перцем, солеными огурчиками и горчичной заправкой. Рекомендуем к водке.</t>
  </si>
  <si>
    <t>Рулет из огурца с салатом из мидий и  вяленых помидорок</t>
  </si>
  <si>
    <t>Салат "Сельдь под шубой"</t>
  </si>
  <si>
    <t>Салат Кейл с томатами, авокадо и сыром "Раклет"</t>
  </si>
  <si>
    <t>Салат с ломтиками тунца в кунжуте, рукколой и помидорками</t>
  </si>
  <si>
    <t>Салат Разсол</t>
  </si>
  <si>
    <t>Салат "Цезарь" от шефа с креветкой</t>
  </si>
  <si>
    <t>Салат "Цезарь" от шефа с курицей</t>
  </si>
  <si>
    <t>Салат с курицей,грибами,луком и яйцом</t>
  </si>
  <si>
    <t>Горячие блюда</t>
  </si>
  <si>
    <t xml:space="preserve">Овощной спринг-ролл </t>
  </si>
  <si>
    <t>Горячий спринг- ролл с тунцом</t>
  </si>
  <si>
    <t>Горячий спринг- ролл с креветкой</t>
  </si>
  <si>
    <t xml:space="preserve">Мини-шашлычок из лосося </t>
  </si>
  <si>
    <t>Филе семги в кунжуте</t>
  </si>
  <si>
    <t>Мини-котлета из щуки</t>
  </si>
  <si>
    <t>Шашлык из сома с болгарским перцем</t>
  </si>
  <si>
    <t xml:space="preserve">Томленая Телятина с картофелем в соусе демиглас </t>
  </si>
  <si>
    <t>Куриная грудка с картофелем и сливочном соусе</t>
  </si>
  <si>
    <t>Мини-шашлычок из цыпленка с болгарским перцем</t>
  </si>
  <si>
    <t>Филе "Монако" /ролл из курицы с сыром, беконом</t>
  </si>
  <si>
    <t xml:space="preserve">Филе куриное со шпинатом </t>
  </si>
  <si>
    <t>Голень куриная в беконе с томатным соусом</t>
  </si>
  <si>
    <t xml:space="preserve">Нежная куриная котлетка </t>
  </si>
  <si>
    <t xml:space="preserve">Мини-котлета по-домашнему </t>
  </si>
  <si>
    <t xml:space="preserve">Классический бефстроганов из телятины с грибами </t>
  </si>
  <si>
    <t xml:space="preserve">Телятина в соусе Демиглас </t>
  </si>
  <si>
    <t>Шницель по-карагеоргиевски, рулет из свинины начиненный сливочным сыром и беконом</t>
  </si>
  <si>
    <t>Шашлык из картофеля с лимоном и орегано</t>
  </si>
  <si>
    <t>Мини-шашлычок из свинины с болг. перцем</t>
  </si>
  <si>
    <t>Мини-шашлычок из овощей</t>
  </si>
  <si>
    <t xml:space="preserve">Мини-люля кебаб из баранины </t>
  </si>
  <si>
    <t>Блинчики с маслом</t>
  </si>
  <si>
    <t xml:space="preserve">Блинчик с творогом </t>
  </si>
  <si>
    <t xml:space="preserve">Блин с яйцом </t>
  </si>
  <si>
    <t>Блинчики с мясом</t>
  </si>
  <si>
    <t>Блинчик с творогом и вишней</t>
  </si>
  <si>
    <t>Блинчик с яблоками и корицей</t>
  </si>
  <si>
    <t>Гарниры</t>
  </si>
  <si>
    <t>Картофель запеченный</t>
  </si>
  <si>
    <t xml:space="preserve">Картофель жареный </t>
  </si>
  <si>
    <t>Картофель беби, запеченый с размарином</t>
  </si>
  <si>
    <t>Кус кус с овощами</t>
  </si>
  <si>
    <t xml:space="preserve">Булгур с овощами </t>
  </si>
  <si>
    <t>Фасоль тушеная с овощами</t>
  </si>
  <si>
    <t>Рататуй</t>
  </si>
  <si>
    <t xml:space="preserve">Овощи гриль </t>
  </si>
  <si>
    <t>Соусы</t>
  </si>
  <si>
    <t>Соус из трав к рыбе</t>
  </si>
  <si>
    <t>Соус Тар-Тар</t>
  </si>
  <si>
    <t>Соус томатный</t>
  </si>
  <si>
    <t xml:space="preserve">Соус грибной </t>
  </si>
  <si>
    <t xml:space="preserve">Сметана </t>
  </si>
  <si>
    <t>Сгущеное молоко</t>
  </si>
  <si>
    <t>Выпечка, бутерброды</t>
  </si>
  <si>
    <t>Мини-пирожки</t>
  </si>
  <si>
    <t>Пирожок с яйцом и зеленым луком</t>
  </si>
  <si>
    <t>Пирожок с мясом</t>
  </si>
  <si>
    <t>Пирожок с копченым сомом и щукой</t>
  </si>
  <si>
    <t>Пирожок ржаной с грибами</t>
  </si>
  <si>
    <t>Пирожок с капустой и яйцом</t>
  </si>
  <si>
    <t>Пирожок ржаной с солеными огурцами</t>
  </si>
  <si>
    <t>Пирожок с яблоком и корицей</t>
  </si>
  <si>
    <t>Пирожок с брусникой</t>
  </si>
  <si>
    <t xml:space="preserve">Пирог печеный с яйцом </t>
  </si>
  <si>
    <t>Растегай с сомом и луком</t>
  </si>
  <si>
    <t>Мини-пирожки с мясом</t>
  </si>
  <si>
    <t>Мини-пирожки с грибами</t>
  </si>
  <si>
    <t>Мини-пирожки с картофелем</t>
  </si>
  <si>
    <t>Мини-пирожок с капустой и яйцом</t>
  </si>
  <si>
    <t>Мини-пирожок с печенью</t>
  </si>
  <si>
    <t>Мини-пирожок с творогом и вишней</t>
  </si>
  <si>
    <t>Мини-пирожок с яблоком</t>
  </si>
  <si>
    <t>Мини-пирожок с брусникой</t>
  </si>
  <si>
    <t>Мини-пирожок с яйцом и луком</t>
  </si>
  <si>
    <t>Мини-пирожок ржаной с соленым огурцом</t>
  </si>
  <si>
    <t>Мини-расстегай с семгой</t>
  </si>
  <si>
    <t>Пирожки</t>
  </si>
  <si>
    <t>Пирожки с мясом</t>
  </si>
  <si>
    <t>Пирожки с грибами</t>
  </si>
  <si>
    <t>Пирожки с картофелем</t>
  </si>
  <si>
    <t>Пирожок с печенью</t>
  </si>
  <si>
    <t>Пирожки с яблоком</t>
  </si>
  <si>
    <t>Пирожки с яйцом</t>
  </si>
  <si>
    <t>Пирожки с творогом и вишней</t>
  </si>
  <si>
    <t>Выпечка</t>
  </si>
  <si>
    <t>Ватрушка "По-царски"</t>
  </si>
  <si>
    <t>Круассан с вареной сгущенкой</t>
  </si>
  <si>
    <t>Круассан с шоколадом</t>
  </si>
  <si>
    <t xml:space="preserve">Слойка с ветчиной и сыром </t>
  </si>
  <si>
    <t>Слойка с яблоком и вишней</t>
  </si>
  <si>
    <t>Слойка с яблоком и изюмом</t>
  </si>
  <si>
    <t>Хлебная корзина ВН</t>
  </si>
  <si>
    <t>Сосиска в тесте</t>
  </si>
  <si>
    <t>Сендвичи</t>
  </si>
  <si>
    <t>Сэндвич с ветчиной и сыром</t>
  </si>
  <si>
    <t>Сэндвич с курицей</t>
  </si>
  <si>
    <t>Сэндвич с мягким сыром</t>
  </si>
  <si>
    <t>Сэндвич с тунцом</t>
  </si>
  <si>
    <t>Сэндвич с копченой индейкой</t>
  </si>
  <si>
    <t>Сэндвич с паштетом из тунца</t>
  </si>
  <si>
    <t>1/2 Сендвичи</t>
  </si>
  <si>
    <t>1/2 сендвича с ветчиной и сыром</t>
  </si>
  <si>
    <t xml:space="preserve">Каравай </t>
  </si>
  <si>
    <t>1/2 сендвича  с курицей</t>
  </si>
  <si>
    <t>1/2 сендвича с мягким сыром</t>
  </si>
  <si>
    <t>1/2 сендвича с индейкой и беконом</t>
  </si>
  <si>
    <t>1/2 сендвича с копченой индейкой</t>
  </si>
  <si>
    <t>1/2 сендвича с паштетом из тунца</t>
  </si>
  <si>
    <t>1/2 сендвича с лососем и соусом Песто</t>
  </si>
  <si>
    <t>Мини -Сендвичи</t>
  </si>
  <si>
    <t>Мини-сендвич с семгой</t>
  </si>
  <si>
    <t>Мини-сендвич с пармой</t>
  </si>
  <si>
    <t>Мини-сендвич с угрем</t>
  </si>
  <si>
    <t>Мини-сендвич с телятиной</t>
  </si>
  <si>
    <t>Бутерброды</t>
  </si>
  <si>
    <t>Бутерброд с сыровяленой колбасой</t>
  </si>
  <si>
    <t>Бутерброд с бужениной</t>
  </si>
  <si>
    <t>Бутерброд с индейкой</t>
  </si>
  <si>
    <t>Бутерброд с копченой колбасой</t>
  </si>
  <si>
    <t>Бутерброд с форелью</t>
  </si>
  <si>
    <t>Бутерброд  с лососем</t>
  </si>
  <si>
    <t>Десерт</t>
  </si>
  <si>
    <t>Французские мини-эклеры /ваниль, шоколад, манго,мята/</t>
  </si>
  <si>
    <t>Кейк-попсы</t>
  </si>
  <si>
    <t>Маршмеллоу</t>
  </si>
  <si>
    <t>Мини-тирамису</t>
  </si>
  <si>
    <t xml:space="preserve">Печенье овсяное </t>
  </si>
  <si>
    <t>Кукис шоколадный</t>
  </si>
  <si>
    <t>Печенье кокосовое</t>
  </si>
  <si>
    <t>Маффин шоколадный</t>
  </si>
  <si>
    <t xml:space="preserve">Маффин с черникой </t>
  </si>
  <si>
    <t xml:space="preserve">Маффин с изюмом </t>
  </si>
  <si>
    <t>Мини-медовик</t>
  </si>
  <si>
    <t>Палочки бисквитные к шоколадному фонтану</t>
  </si>
  <si>
    <t>Мини-птичье молоко</t>
  </si>
  <si>
    <t>Мини-Опера</t>
  </si>
  <si>
    <t>Мини-Красный бархат</t>
  </si>
  <si>
    <t>Мини-брауни</t>
  </si>
  <si>
    <t>Мини-прага</t>
  </si>
  <si>
    <t>Мини-чизкейк</t>
  </si>
  <si>
    <t xml:space="preserve">Ванильный мусс </t>
  </si>
  <si>
    <t xml:space="preserve">Шоколадный мусс </t>
  </si>
  <si>
    <t xml:space="preserve">Сырный мусс с клубникой </t>
  </si>
  <si>
    <t>Мини-маковый</t>
  </si>
  <si>
    <t>Панакота с вишневым вареньем</t>
  </si>
  <si>
    <t xml:space="preserve">Шоколадное сердце с облепиховым желе </t>
  </si>
  <si>
    <t>Чизкейк малиновый</t>
  </si>
  <si>
    <t xml:space="preserve">Карамельный десерт с черносливом и курагой </t>
  </si>
  <si>
    <t>Фрукты</t>
  </si>
  <si>
    <t>Фрукты по сезону</t>
  </si>
  <si>
    <t xml:space="preserve">Морс </t>
  </si>
  <si>
    <t>Итого кухня</t>
  </si>
  <si>
    <t>Итого грамм на персону без напитков</t>
  </si>
  <si>
    <t xml:space="preserve">Безалкогольные напитки </t>
  </si>
  <si>
    <t>Вода "Хрустальная"  газ/ б/г</t>
  </si>
  <si>
    <t>Вода "Даусуз"  стекло</t>
  </si>
  <si>
    <t>Чай пакетированный</t>
  </si>
  <si>
    <t>Кофе пакетированный</t>
  </si>
  <si>
    <t>Сливки порционные</t>
  </si>
  <si>
    <t>Чай в чайнике /черный, зеленый/</t>
  </si>
  <si>
    <t>Кофе "Капуччино</t>
  </si>
  <si>
    <t>Кофе "Эспрессо", "Американо"</t>
  </si>
  <si>
    <t>30/120</t>
  </si>
  <si>
    <t xml:space="preserve">Итого бар </t>
  </si>
  <si>
    <t>Итого кухня + бар</t>
  </si>
  <si>
    <t>Итого кухня + бар на персону</t>
  </si>
  <si>
    <t>Аренда, услуги, логистика</t>
  </si>
  <si>
    <t>ИТОГО ПО ВСЕМ РАЗДЕЛАМ</t>
  </si>
  <si>
    <t>Итого по всем разделам на персону</t>
  </si>
  <si>
    <t>Закуска из свиной корейки и тартаром из груздей</t>
  </si>
  <si>
    <t>Эклер с креветкой,соусом спайси и икрой тобико</t>
  </si>
  <si>
    <t>Форшмак волжский из судака на черном хлебе</t>
  </si>
  <si>
    <t>Эклер с муссом из лосося с цитрусовой глазурью</t>
  </si>
  <si>
    <t>Наполеон из тунца</t>
  </si>
  <si>
    <t>Горячие закуски</t>
  </si>
  <si>
    <t>Блинчик с лисичками</t>
  </si>
  <si>
    <t>Эклеры с тар-таром из сыровяленной говядины, каперсами и вяленными томатами</t>
  </si>
  <si>
    <t>Рулет из судака и щуки с грибами, с  муссом из сливочного хрена</t>
  </si>
  <si>
    <t>Ростбиф</t>
  </si>
  <si>
    <t>С/в мясо говядины</t>
  </si>
  <si>
    <t>Эскимо по-пожарски</t>
  </si>
  <si>
    <t>Венские вафли с рваной индейкой под соусом бешамель</t>
  </si>
  <si>
    <t>Эклер с цыпленком и грибами в сливочном соусе</t>
  </si>
  <si>
    <t>Эклер с муссом из ветчины и сливочным сыром</t>
  </si>
  <si>
    <t xml:space="preserve">Наполеон с курицей </t>
  </si>
  <si>
    <t>Эклеры с муссом из сыра</t>
  </si>
  <si>
    <t>Эклер с ростбифом и вяленными томатами</t>
  </si>
  <si>
    <t>Профитроли с масленной рыбой и икрой тобико</t>
  </si>
  <si>
    <t>Профитроли с лососем и творожным сыром</t>
  </si>
  <si>
    <t>Тарталетка с мусом из куриной печени, печеной грушей и халвой</t>
  </si>
  <si>
    <t>Ленивые роллы</t>
  </si>
  <si>
    <t>Ролл-болл с креветкой</t>
  </si>
  <si>
    <t>Ленивые роллы "Калифорния"</t>
  </si>
  <si>
    <t>Ленивые роллы "Филадельфия с лососем"</t>
  </si>
  <si>
    <t>Кейтеринг- меню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</si>
</sst>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h:mm;@"/>
    <numFmt numFmtId="165" formatCode="dd\.mm\.yyyy"/>
    <numFmt numFmtId="166" formatCode="#\ ##0&quot; р.&quot;"/>
    <numFmt numFmtId="167" formatCode="#\ ##0\ &quot;₽&quot;"/>
  </numFmts>
  <fonts count="16">
    <font>
      <sz val="12"/>
      <color indexed="8"/>
      <name val="Verdana"/>
      <charset val="134"/>
    </font>
    <font>
      <sz val="10"/>
      <color indexed="8"/>
      <name val="Verdana"/>
      <family val="2"/>
      <charset val="204"/>
    </font>
    <font>
      <sz val="10"/>
      <color indexed="8"/>
      <name val="Calibri"/>
      <family val="2"/>
      <charset val="204"/>
    </font>
    <font>
      <sz val="10"/>
      <color theme="0" tint="-4.9989318521683403E-2"/>
      <name val="Calibri"/>
      <family val="2"/>
      <charset val="204"/>
    </font>
    <font>
      <b/>
      <sz val="12"/>
      <color indexed="8"/>
      <name val="Calibri"/>
      <family val="2"/>
      <charset val="204"/>
    </font>
    <font>
      <b/>
      <sz val="10"/>
      <color indexed="8"/>
      <name val="Calibri"/>
      <family val="2"/>
      <charset val="204"/>
    </font>
    <font>
      <b/>
      <sz val="5"/>
      <color indexed="8"/>
      <name val="Calibri"/>
      <family val="2"/>
      <charset val="204"/>
    </font>
    <font>
      <b/>
      <sz val="9"/>
      <color indexed="8"/>
      <name val="Calibri"/>
      <family val="2"/>
      <charset val="204"/>
    </font>
    <font>
      <u/>
      <sz val="10"/>
      <color indexed="11"/>
      <name val="Calibri"/>
      <family val="2"/>
      <charset val="204"/>
    </font>
    <font>
      <sz val="10"/>
      <color rgb="FFFF0000"/>
      <name val="Calibri"/>
      <family val="2"/>
      <charset val="204"/>
    </font>
    <font>
      <sz val="10"/>
      <name val="Calibri"/>
      <family val="2"/>
      <charset val="204"/>
    </font>
    <font>
      <sz val="10"/>
      <color theme="1"/>
      <name val="Calibri"/>
      <family val="2"/>
      <charset val="204"/>
    </font>
    <font>
      <sz val="12"/>
      <color indexed="8"/>
      <name val="Verdana"/>
      <family val="2"/>
      <charset val="204"/>
    </font>
    <font>
      <sz val="10"/>
      <color rgb="FF000000"/>
      <name val="Calibri"/>
      <family val="2"/>
      <charset val="204"/>
    </font>
    <font>
      <sz val="10"/>
      <name val="Calibri"/>
      <family val="2"/>
      <charset val="204"/>
    </font>
    <font>
      <b/>
      <sz val="24"/>
      <color indexed="8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ECD2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8" tint="0.79989013336588644"/>
        <bgColor indexed="64"/>
      </patternFill>
    </fill>
    <fill>
      <patternFill patternType="solid">
        <fgColor theme="5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 applyNumberFormat="0" applyFill="0" applyBorder="0" applyProtection="0">
      <alignment vertical="top" wrapText="1"/>
    </xf>
    <xf numFmtId="0" fontId="12" fillId="0" borderId="0" applyNumberFormat="0" applyFill="0" applyBorder="0" applyProtection="0">
      <alignment vertical="top" wrapText="1"/>
    </xf>
  </cellStyleXfs>
  <cellXfs count="194">
    <xf numFmtId="0" fontId="0" fillId="0" borderId="0" xfId="0" applyFont="1" applyAlignment="1">
      <alignment vertical="top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>
      <alignment vertical="top" wrapText="1"/>
    </xf>
    <xf numFmtId="0" fontId="1" fillId="0" borderId="0" xfId="0" applyFont="1" applyFill="1" applyAlignment="1">
      <alignment vertical="top" wrapText="1"/>
    </xf>
    <xf numFmtId="0" fontId="1" fillId="0" borderId="0" xfId="0" applyFont="1" applyAlignment="1"/>
    <xf numFmtId="0" fontId="1" fillId="2" borderId="0" xfId="0" applyFont="1" applyFill="1" applyAlignment="1">
      <alignment vertical="top" wrapText="1"/>
    </xf>
    <xf numFmtId="0" fontId="2" fillId="0" borderId="0" xfId="0" applyNumberFormat="1" applyFont="1" applyAlignment="1"/>
    <xf numFmtId="0" fontId="1" fillId="0" borderId="0" xfId="0" applyFont="1" applyAlignment="1">
      <alignment vertical="top" wrapText="1"/>
    </xf>
    <xf numFmtId="0" fontId="2" fillId="0" borderId="0" xfId="0" applyFont="1" applyBorder="1" applyAlignment="1">
      <alignment vertical="center" wrapText="1"/>
    </xf>
    <xf numFmtId="1" fontId="2" fillId="0" borderId="0" xfId="0" applyNumberFormat="1" applyFont="1" applyBorder="1" applyAlignment="1">
      <alignment horizontal="right" vertical="center" wrapText="1"/>
    </xf>
    <xf numFmtId="0" fontId="2" fillId="0" borderId="0" xfId="0" applyNumberFormat="1" applyFont="1" applyBorder="1" applyAlignment="1">
      <alignment vertical="center" wrapText="1"/>
    </xf>
    <xf numFmtId="1" fontId="2" fillId="0" borderId="0" xfId="0" applyNumberFormat="1" applyFont="1" applyBorder="1" applyAlignment="1">
      <alignment vertical="center" wrapText="1"/>
    </xf>
    <xf numFmtId="0" fontId="5" fillId="3" borderId="1" xfId="0" applyNumberFormat="1" applyFont="1" applyFill="1" applyBorder="1" applyAlignment="1">
      <alignment horizontal="center" vertical="center" wrapText="1"/>
    </xf>
    <xf numFmtId="1" fontId="5" fillId="3" borderId="1" xfId="0" applyNumberFormat="1" applyFont="1" applyFill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vertical="center" wrapText="1"/>
    </xf>
    <xf numFmtId="0" fontId="6" fillId="3" borderId="1" xfId="0" applyNumberFormat="1" applyFont="1" applyFill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vertical="center" wrapText="1"/>
    </xf>
    <xf numFmtId="1" fontId="2" fillId="4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2" fillId="5" borderId="1" xfId="0" applyNumberFormat="1" applyFont="1" applyFill="1" applyBorder="1" applyAlignment="1">
      <alignment horizontal="center" vertical="center" wrapText="1"/>
    </xf>
    <xf numFmtId="1" fontId="2" fillId="5" borderId="1" xfId="0" applyNumberFormat="1" applyFont="1" applyFill="1" applyBorder="1" applyAlignment="1">
      <alignment horizontal="center" vertical="center" wrapText="1"/>
    </xf>
    <xf numFmtId="1" fontId="2" fillId="6" borderId="1" xfId="0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Alignment="1"/>
    <xf numFmtId="0" fontId="2" fillId="2" borderId="0" xfId="0" applyNumberFormat="1" applyFont="1" applyFill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1" fontId="2" fillId="0" borderId="1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/>
    <xf numFmtId="0" fontId="2" fillId="0" borderId="2" xfId="0" applyNumberFormat="1" applyFont="1" applyFill="1" applyBorder="1" applyAlignment="1">
      <alignment vertical="center" wrapText="1"/>
    </xf>
    <xf numFmtId="0" fontId="2" fillId="0" borderId="3" xfId="0" applyNumberFormat="1" applyFont="1" applyFill="1" applyBorder="1" applyAlignment="1">
      <alignment vertical="center" wrapText="1"/>
    </xf>
    <xf numFmtId="0" fontId="2" fillId="0" borderId="4" xfId="0" applyNumberFormat="1" applyFont="1" applyFill="1" applyBorder="1" applyAlignment="1">
      <alignment vertical="center" wrapText="1"/>
    </xf>
    <xf numFmtId="0" fontId="10" fillId="0" borderId="2" xfId="0" applyFont="1" applyFill="1" applyBorder="1" applyAlignment="1">
      <alignment vertical="center" wrapText="1"/>
    </xf>
    <xf numFmtId="0" fontId="10" fillId="0" borderId="3" xfId="0" applyFont="1" applyFill="1" applyBorder="1" applyAlignment="1">
      <alignment vertical="center" wrapText="1"/>
    </xf>
    <xf numFmtId="0" fontId="10" fillId="0" borderId="4" xfId="0" applyFont="1" applyFill="1" applyBorder="1" applyAlignment="1">
      <alignment vertical="center" wrapText="1"/>
    </xf>
    <xf numFmtId="0" fontId="10" fillId="0" borderId="1" xfId="0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/>
    <xf numFmtId="1" fontId="2" fillId="2" borderId="0" xfId="0" applyNumberFormat="1" applyFont="1" applyFill="1" applyBorder="1" applyAlignment="1">
      <alignment vertical="center" wrapText="1"/>
    </xf>
    <xf numFmtId="0" fontId="2" fillId="0" borderId="0" xfId="0" applyNumberFormat="1" applyFont="1" applyAlignment="1">
      <alignment horizontal="left"/>
    </xf>
    <xf numFmtId="1" fontId="2" fillId="5" borderId="1" xfId="0" applyNumberFormat="1" applyFont="1" applyFill="1" applyBorder="1" applyAlignment="1">
      <alignment horizontal="left" vertical="center" wrapText="1"/>
    </xf>
    <xf numFmtId="0" fontId="2" fillId="2" borderId="1" xfId="1" applyNumberFormat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0" fontId="2" fillId="4" borderId="1" xfId="0" applyNumberFormat="1" applyFont="1" applyFill="1" applyBorder="1" applyAlignment="1">
      <alignment horizontal="center" vertical="center"/>
    </xf>
    <xf numFmtId="0" fontId="2" fillId="5" borderId="1" xfId="0" applyNumberFormat="1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left" vertical="center" wrapText="1"/>
    </xf>
    <xf numFmtId="0" fontId="11" fillId="2" borderId="3" xfId="0" applyFont="1" applyFill="1" applyBorder="1" applyAlignment="1">
      <alignment horizontal="left" vertical="center" wrapText="1"/>
    </xf>
    <xf numFmtId="0" fontId="11" fillId="2" borderId="4" xfId="0" applyFont="1" applyFill="1" applyBorder="1" applyAlignment="1">
      <alignment horizontal="left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2" fillId="5" borderId="5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6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1" fillId="2" borderId="0" xfId="0" applyFont="1" applyFill="1" applyAlignment="1"/>
    <xf numFmtId="0" fontId="1" fillId="0" borderId="0" xfId="0" applyFont="1" applyAlignment="1">
      <alignment horizontal="center" vertical="center"/>
    </xf>
    <xf numFmtId="0" fontId="2" fillId="5" borderId="0" xfId="0" applyNumberFormat="1" applyFont="1" applyFill="1" applyBorder="1" applyAlignment="1">
      <alignment vertical="center" wrapText="1"/>
    </xf>
    <xf numFmtId="0" fontId="2" fillId="0" borderId="0" xfId="0" applyNumberFormat="1" applyFont="1" applyBorder="1" applyAlignment="1"/>
    <xf numFmtId="0" fontId="2" fillId="0" borderId="0" xfId="0" applyNumberFormat="1" applyFont="1" applyFill="1" applyBorder="1" applyAlignment="1">
      <alignment horizontal="center" vertical="center"/>
    </xf>
    <xf numFmtId="1" fontId="2" fillId="2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 wrapText="1"/>
    </xf>
    <xf numFmtId="2" fontId="2" fillId="0" borderId="0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vertical="center" wrapText="1"/>
    </xf>
    <xf numFmtId="0" fontId="10" fillId="0" borderId="0" xfId="0" applyFont="1" applyFill="1" applyBorder="1" applyAlignment="1">
      <alignment horizontal="center" vertical="center"/>
    </xf>
    <xf numFmtId="1" fontId="2" fillId="5" borderId="1" xfId="0" applyNumberFormat="1" applyFont="1" applyFill="1" applyBorder="1" applyAlignment="1">
      <alignment horizontal="center" vertical="center"/>
    </xf>
    <xf numFmtId="166" fontId="5" fillId="3" borderId="1" xfId="0" applyNumberFormat="1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167" fontId="5" fillId="3" borderId="1" xfId="0" applyNumberFormat="1" applyFont="1" applyFill="1" applyBorder="1" applyAlignment="1">
      <alignment horizontal="center" vertical="center" wrapText="1"/>
    </xf>
    <xf numFmtId="167" fontId="2" fillId="3" borderId="1" xfId="0" applyNumberFormat="1" applyFont="1" applyFill="1" applyBorder="1" applyAlignment="1">
      <alignment horizontal="center" vertical="center" wrapText="1"/>
    </xf>
    <xf numFmtId="167" fontId="4" fillId="3" borderId="1" xfId="0" applyNumberFormat="1" applyFont="1" applyFill="1" applyBorder="1" applyAlignment="1">
      <alignment horizontal="center" vertical="center"/>
    </xf>
    <xf numFmtId="167" fontId="2" fillId="3" borderId="1" xfId="0" applyNumberFormat="1" applyFont="1" applyFill="1" applyBorder="1" applyAlignment="1">
      <alignment horizontal="center" vertical="center"/>
    </xf>
    <xf numFmtId="0" fontId="5" fillId="3" borderId="1" xfId="0" applyNumberFormat="1" applyFont="1" applyFill="1" applyBorder="1" applyAlignment="1">
      <alignment horizontal="center" vertical="center" wrapText="1"/>
    </xf>
    <xf numFmtId="1" fontId="14" fillId="2" borderId="1" xfId="0" applyNumberFormat="1" applyFont="1" applyFill="1" applyBorder="1" applyAlignment="1">
      <alignment horizontal="center" vertical="center" wrapText="1"/>
    </xf>
    <xf numFmtId="1" fontId="9" fillId="2" borderId="1" xfId="0" applyNumberFormat="1" applyFont="1" applyFill="1" applyBorder="1" applyAlignment="1">
      <alignment horizontal="center" vertical="center" wrapText="1"/>
    </xf>
    <xf numFmtId="0" fontId="10" fillId="7" borderId="1" xfId="0" applyNumberFormat="1" applyFont="1" applyFill="1" applyBorder="1" applyAlignment="1">
      <alignment horizontal="center" vertical="center" wrapText="1"/>
    </xf>
    <xf numFmtId="1" fontId="10" fillId="7" borderId="1" xfId="0" applyNumberFormat="1" applyFont="1" applyFill="1" applyBorder="1" applyAlignment="1">
      <alignment horizontal="center" vertical="center" wrapText="1"/>
    </xf>
    <xf numFmtId="0" fontId="10" fillId="7" borderId="1" xfId="0" applyNumberFormat="1" applyFont="1" applyFill="1" applyBorder="1" applyAlignment="1">
      <alignment horizontal="center" vertical="center"/>
    </xf>
    <xf numFmtId="0" fontId="2" fillId="7" borderId="1" xfId="0" applyNumberFormat="1" applyFont="1" applyFill="1" applyBorder="1" applyAlignment="1">
      <alignment horizontal="center" vertical="center" wrapText="1"/>
    </xf>
    <xf numFmtId="1" fontId="2" fillId="7" borderId="1" xfId="0" applyNumberFormat="1" applyFont="1" applyFill="1" applyBorder="1" applyAlignment="1">
      <alignment horizontal="center" vertical="center" wrapText="1"/>
    </xf>
    <xf numFmtId="0" fontId="2" fillId="0" borderId="2" xfId="0" applyNumberFormat="1" applyFont="1" applyFill="1" applyBorder="1" applyAlignment="1">
      <alignment horizontal="left" vertical="center" wrapText="1"/>
    </xf>
    <xf numFmtId="0" fontId="2" fillId="0" borderId="3" xfId="0" applyNumberFormat="1" applyFont="1" applyFill="1" applyBorder="1" applyAlignment="1">
      <alignment horizontal="left" vertical="center" wrapText="1"/>
    </xf>
    <xf numFmtId="0" fontId="2" fillId="0" borderId="4" xfId="0" applyNumberFormat="1" applyFont="1" applyFill="1" applyBorder="1" applyAlignment="1">
      <alignment horizontal="left" vertical="center" wrapText="1"/>
    </xf>
    <xf numFmtId="0" fontId="2" fillId="5" borderId="1" xfId="0" applyNumberFormat="1" applyFont="1" applyFill="1" applyBorder="1" applyAlignment="1">
      <alignment horizontal="left" vertical="center" wrapText="1"/>
    </xf>
    <xf numFmtId="1" fontId="2" fillId="5" borderId="1" xfId="0" applyNumberFormat="1" applyFont="1" applyFill="1" applyBorder="1" applyAlignment="1">
      <alignment horizontal="left" vertical="center" wrapText="1"/>
    </xf>
    <xf numFmtId="0" fontId="5" fillId="3" borderId="1" xfId="0" applyNumberFormat="1" applyFont="1" applyFill="1" applyBorder="1" applyAlignment="1">
      <alignment horizontal="right" vertical="center" wrapText="1"/>
    </xf>
    <xf numFmtId="1" fontId="5" fillId="3" borderId="1" xfId="0" applyNumberFormat="1" applyFont="1" applyFill="1" applyBorder="1" applyAlignment="1">
      <alignment horizontal="right" vertical="center" wrapText="1"/>
    </xf>
    <xf numFmtId="0" fontId="2" fillId="3" borderId="1" xfId="0" applyNumberFormat="1" applyFont="1" applyFill="1" applyBorder="1" applyAlignment="1">
      <alignment horizontal="right" vertical="center" wrapText="1"/>
    </xf>
    <xf numFmtId="1" fontId="2" fillId="3" borderId="1" xfId="0" applyNumberFormat="1" applyFont="1" applyFill="1" applyBorder="1" applyAlignment="1">
      <alignment horizontal="right" vertical="center" wrapText="1"/>
    </xf>
    <xf numFmtId="0" fontId="5" fillId="3" borderId="2" xfId="0" applyNumberFormat="1" applyFont="1" applyFill="1" applyBorder="1" applyAlignment="1">
      <alignment horizontal="right" vertical="center" wrapText="1"/>
    </xf>
    <xf numFmtId="0" fontId="5" fillId="3" borderId="3" xfId="0" applyNumberFormat="1" applyFont="1" applyFill="1" applyBorder="1" applyAlignment="1">
      <alignment horizontal="right" vertical="center" wrapText="1"/>
    </xf>
    <xf numFmtId="0" fontId="5" fillId="3" borderId="4" xfId="0" applyNumberFormat="1" applyFont="1" applyFill="1" applyBorder="1" applyAlignment="1">
      <alignment horizontal="right" vertical="center" wrapText="1"/>
    </xf>
    <xf numFmtId="0" fontId="4" fillId="3" borderId="1" xfId="0" applyNumberFormat="1" applyFont="1" applyFill="1" applyBorder="1" applyAlignment="1">
      <alignment horizontal="right" vertical="center" wrapText="1"/>
    </xf>
    <xf numFmtId="1" fontId="4" fillId="3" borderId="1" xfId="0" applyNumberFormat="1" applyFont="1" applyFill="1" applyBorder="1" applyAlignment="1">
      <alignment horizontal="right" vertical="center" wrapText="1"/>
    </xf>
    <xf numFmtId="0" fontId="5" fillId="3" borderId="1" xfId="0" applyNumberFormat="1" applyFont="1" applyFill="1" applyBorder="1" applyAlignment="1">
      <alignment horizontal="center" vertical="center" wrapText="1"/>
    </xf>
    <xf numFmtId="1" fontId="5" fillId="3" borderId="1" xfId="0" applyNumberFormat="1" applyFont="1" applyFill="1" applyBorder="1" applyAlignment="1">
      <alignment horizontal="center" vertical="center" wrapText="1"/>
    </xf>
    <xf numFmtId="0" fontId="2" fillId="2" borderId="2" xfId="0" applyNumberFormat="1" applyFont="1" applyFill="1" applyBorder="1" applyAlignment="1">
      <alignment horizontal="left" vertical="center" wrapText="1"/>
    </xf>
    <xf numFmtId="0" fontId="2" fillId="2" borderId="3" xfId="0" applyNumberFormat="1" applyFont="1" applyFill="1" applyBorder="1" applyAlignment="1">
      <alignment horizontal="left" vertical="center" wrapText="1"/>
    </xf>
    <xf numFmtId="0" fontId="2" fillId="2" borderId="4" xfId="0" applyNumberFormat="1" applyFont="1" applyFill="1" applyBorder="1" applyAlignment="1">
      <alignment horizontal="left" vertical="center" wrapText="1"/>
    </xf>
    <xf numFmtId="0" fontId="4" fillId="3" borderId="1" xfId="0" applyNumberFormat="1" applyFont="1" applyFill="1" applyBorder="1" applyAlignment="1">
      <alignment horizontal="center" vertical="center" wrapText="1"/>
    </xf>
    <xf numFmtId="1" fontId="4" fillId="3" borderId="1" xfId="0" applyNumberFormat="1" applyFont="1" applyFill="1" applyBorder="1" applyAlignment="1">
      <alignment horizontal="center" vertical="center" wrapText="1"/>
    </xf>
    <xf numFmtId="0" fontId="2" fillId="0" borderId="2" xfId="0" applyNumberFormat="1" applyFont="1" applyFill="1" applyBorder="1" applyAlignment="1">
      <alignment horizontal="left" vertical="center" shrinkToFit="1"/>
    </xf>
    <xf numFmtId="0" fontId="2" fillId="0" borderId="3" xfId="0" applyNumberFormat="1" applyFont="1" applyFill="1" applyBorder="1" applyAlignment="1">
      <alignment horizontal="left" vertical="center" shrinkToFit="1"/>
    </xf>
    <xf numFmtId="0" fontId="2" fillId="0" borderId="4" xfId="0" applyNumberFormat="1" applyFont="1" applyFill="1" applyBorder="1" applyAlignment="1">
      <alignment horizontal="left" vertical="center" shrinkToFit="1"/>
    </xf>
    <xf numFmtId="0" fontId="10" fillId="7" borderId="2" xfId="0" applyNumberFormat="1" applyFont="1" applyFill="1" applyBorder="1" applyAlignment="1">
      <alignment horizontal="left" vertical="center" wrapText="1"/>
    </xf>
    <xf numFmtId="0" fontId="10" fillId="7" borderId="3" xfId="0" applyNumberFormat="1" applyFont="1" applyFill="1" applyBorder="1" applyAlignment="1">
      <alignment horizontal="left" vertical="center" wrapText="1"/>
    </xf>
    <xf numFmtId="0" fontId="10" fillId="7" borderId="4" xfId="0" applyNumberFormat="1" applyFont="1" applyFill="1" applyBorder="1" applyAlignment="1">
      <alignment horizontal="left" vertical="center" wrapText="1"/>
    </xf>
    <xf numFmtId="0" fontId="2" fillId="0" borderId="1" xfId="0" applyNumberFormat="1" applyFont="1" applyFill="1" applyBorder="1" applyAlignment="1">
      <alignment horizontal="left" vertical="center" wrapText="1"/>
    </xf>
    <xf numFmtId="1" fontId="2" fillId="0" borderId="1" xfId="0" applyNumberFormat="1" applyFont="1" applyFill="1" applyBorder="1" applyAlignment="1">
      <alignment horizontal="left" vertical="center" wrapText="1"/>
    </xf>
    <xf numFmtId="0" fontId="10" fillId="0" borderId="2" xfId="0" applyFont="1" applyFill="1" applyBorder="1" applyAlignment="1">
      <alignment horizontal="left" vertical="center" wrapText="1"/>
    </xf>
    <xf numFmtId="0" fontId="10" fillId="0" borderId="3" xfId="0" applyFont="1" applyFill="1" applyBorder="1" applyAlignment="1">
      <alignment horizontal="left" vertical="center" wrapText="1"/>
    </xf>
    <xf numFmtId="0" fontId="10" fillId="0" borderId="4" xfId="0" applyFont="1" applyFill="1" applyBorder="1" applyAlignment="1">
      <alignment horizontal="left" vertical="center" wrapText="1"/>
    </xf>
    <xf numFmtId="0" fontId="10" fillId="0" borderId="2" xfId="0" applyFont="1" applyFill="1" applyBorder="1" applyAlignment="1">
      <alignment vertical="center" wrapText="1"/>
    </xf>
    <xf numFmtId="0" fontId="10" fillId="0" borderId="3" xfId="0" applyFont="1" applyFill="1" applyBorder="1" applyAlignment="1">
      <alignment vertical="center" wrapText="1"/>
    </xf>
    <xf numFmtId="0" fontId="10" fillId="0" borderId="4" xfId="0" applyFont="1" applyFill="1" applyBorder="1" applyAlignment="1">
      <alignment vertical="center" wrapText="1"/>
    </xf>
    <xf numFmtId="0" fontId="2" fillId="0" borderId="1" xfId="0" applyNumberFormat="1" applyFont="1" applyBorder="1" applyAlignment="1">
      <alignment vertical="center" wrapText="1"/>
    </xf>
    <xf numFmtId="0" fontId="2" fillId="5" borderId="2" xfId="0" applyNumberFormat="1" applyFont="1" applyFill="1" applyBorder="1" applyAlignment="1">
      <alignment horizontal="left" vertical="center" wrapText="1"/>
    </xf>
    <xf numFmtId="0" fontId="2" fillId="5" borderId="3" xfId="0" applyNumberFormat="1" applyFont="1" applyFill="1" applyBorder="1" applyAlignment="1">
      <alignment horizontal="left" vertical="center" wrapText="1"/>
    </xf>
    <xf numFmtId="0" fontId="2" fillId="5" borderId="4" xfId="0" applyNumberFormat="1" applyFont="1" applyFill="1" applyBorder="1" applyAlignment="1">
      <alignment horizontal="left" vertical="center" wrapText="1"/>
    </xf>
    <xf numFmtId="0" fontId="4" fillId="3" borderId="2" xfId="0" applyNumberFormat="1" applyFont="1" applyFill="1" applyBorder="1" applyAlignment="1">
      <alignment horizontal="center" vertical="center" wrapText="1"/>
    </xf>
    <xf numFmtId="0" fontId="4" fillId="3" borderId="3" xfId="0" applyNumberFormat="1" applyFont="1" applyFill="1" applyBorder="1" applyAlignment="1">
      <alignment horizontal="center" vertical="center" wrapText="1"/>
    </xf>
    <xf numFmtId="0" fontId="4" fillId="3" borderId="4" xfId="0" applyNumberFormat="1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left" vertical="center" wrapText="1"/>
    </xf>
    <xf numFmtId="0" fontId="2" fillId="0" borderId="2" xfId="0" applyNumberFormat="1" applyFont="1" applyFill="1" applyBorder="1" applyAlignment="1">
      <alignment vertical="center" wrapText="1"/>
    </xf>
    <xf numFmtId="0" fontId="2" fillId="0" borderId="3" xfId="0" applyNumberFormat="1" applyFont="1" applyFill="1" applyBorder="1" applyAlignment="1">
      <alignment vertical="center" wrapText="1"/>
    </xf>
    <xf numFmtId="0" fontId="2" fillId="0" borderId="4" xfId="0" applyNumberFormat="1" applyFont="1" applyFill="1" applyBorder="1" applyAlignment="1">
      <alignment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2" fillId="0" borderId="2" xfId="0" applyNumberFormat="1" applyFont="1" applyBorder="1" applyAlignment="1">
      <alignment horizontal="left" vertical="center"/>
    </xf>
    <xf numFmtId="0" fontId="2" fillId="0" borderId="3" xfId="0" applyNumberFormat="1" applyFont="1" applyBorder="1" applyAlignment="1">
      <alignment horizontal="left" vertical="center"/>
    </xf>
    <xf numFmtId="0" fontId="2" fillId="0" borderId="4" xfId="0" applyNumberFormat="1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2" fillId="0" borderId="0" xfId="0" applyNumberFormat="1" applyFont="1" applyFill="1" applyBorder="1" applyAlignment="1">
      <alignment horizontal="left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0" fontId="5" fillId="3" borderId="3" xfId="0" applyNumberFormat="1" applyFont="1" applyFill="1" applyBorder="1" applyAlignment="1">
      <alignment horizontal="center" vertical="center" wrapText="1"/>
    </xf>
    <xf numFmtId="0" fontId="5" fillId="3" borderId="4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left" vertical="center" wrapText="1"/>
    </xf>
    <xf numFmtId="1" fontId="2" fillId="0" borderId="1" xfId="0" applyNumberFormat="1" applyFont="1" applyBorder="1" applyAlignment="1">
      <alignment horizontal="left" vertical="center" wrapText="1"/>
    </xf>
    <xf numFmtId="0" fontId="2" fillId="0" borderId="2" xfId="0" applyNumberFormat="1" applyFont="1" applyBorder="1" applyAlignment="1">
      <alignment horizontal="left" vertical="center" wrapText="1"/>
    </xf>
    <xf numFmtId="0" fontId="2" fillId="0" borderId="3" xfId="0" applyNumberFormat="1" applyFont="1" applyBorder="1" applyAlignment="1">
      <alignment horizontal="left" vertical="center" wrapText="1"/>
    </xf>
    <xf numFmtId="0" fontId="2" fillId="0" borderId="4" xfId="0" applyNumberFormat="1" applyFont="1" applyBorder="1" applyAlignment="1">
      <alignment horizontal="left" vertical="center" wrapText="1"/>
    </xf>
    <xf numFmtId="0" fontId="2" fillId="4" borderId="2" xfId="0" applyNumberFormat="1" applyFont="1" applyFill="1" applyBorder="1" applyAlignment="1">
      <alignment horizontal="left" vertical="center" wrapText="1"/>
    </xf>
    <xf numFmtId="0" fontId="2" fillId="4" borderId="3" xfId="0" applyNumberFormat="1" applyFont="1" applyFill="1" applyBorder="1" applyAlignment="1">
      <alignment horizontal="left" vertical="center" wrapText="1"/>
    </xf>
    <xf numFmtId="0" fontId="2" fillId="4" borderId="4" xfId="0" applyNumberFormat="1" applyFont="1" applyFill="1" applyBorder="1" applyAlignment="1">
      <alignment horizontal="left" vertical="center" wrapText="1"/>
    </xf>
    <xf numFmtId="0" fontId="11" fillId="2" borderId="2" xfId="0" applyFont="1" applyFill="1" applyBorder="1" applyAlignment="1">
      <alignment horizontal="left" vertical="center" wrapText="1"/>
    </xf>
    <xf numFmtId="0" fontId="11" fillId="2" borderId="3" xfId="0" applyFont="1" applyFill="1" applyBorder="1" applyAlignment="1">
      <alignment horizontal="left" vertical="center" wrapText="1"/>
    </xf>
    <xf numFmtId="0" fontId="11" fillId="2" borderId="4" xfId="0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horizontal="left" vertical="center" wrapText="1"/>
    </xf>
    <xf numFmtId="0" fontId="2" fillId="2" borderId="1" xfId="0" applyNumberFormat="1" applyFont="1" applyFill="1" applyBorder="1" applyAlignment="1">
      <alignment horizontal="left" vertical="center" wrapText="1"/>
    </xf>
    <xf numFmtId="1" fontId="2" fillId="2" borderId="1" xfId="0" applyNumberFormat="1" applyFont="1" applyFill="1" applyBorder="1" applyAlignment="1">
      <alignment horizontal="left" vertical="center" wrapText="1"/>
    </xf>
    <xf numFmtId="0" fontId="11" fillId="0" borderId="2" xfId="0" applyFont="1" applyFill="1" applyBorder="1" applyAlignment="1">
      <alignment horizontal="left" vertical="center" wrapText="1"/>
    </xf>
    <xf numFmtId="0" fontId="11" fillId="0" borderId="3" xfId="0" applyFont="1" applyFill="1" applyBorder="1" applyAlignment="1">
      <alignment horizontal="left" vertical="center" wrapText="1"/>
    </xf>
    <xf numFmtId="0" fontId="11" fillId="0" borderId="4" xfId="0" applyFont="1" applyFill="1" applyBorder="1" applyAlignment="1">
      <alignment horizontal="left" vertical="center" wrapText="1"/>
    </xf>
    <xf numFmtId="0" fontId="2" fillId="6" borderId="1" xfId="0" applyNumberFormat="1" applyFont="1" applyFill="1" applyBorder="1" applyAlignment="1">
      <alignment horizontal="left" vertical="center" wrapText="1"/>
    </xf>
    <xf numFmtId="1" fontId="2" fillId="6" borderId="1" xfId="0" applyNumberFormat="1" applyFont="1" applyFill="1" applyBorder="1" applyAlignment="1">
      <alignment horizontal="left" vertical="center" wrapText="1"/>
    </xf>
    <xf numFmtId="0" fontId="10" fillId="7" borderId="1" xfId="0" applyNumberFormat="1" applyFont="1" applyFill="1" applyBorder="1" applyAlignment="1">
      <alignment horizontal="left" vertical="center" wrapText="1"/>
    </xf>
    <xf numFmtId="1" fontId="10" fillId="7" borderId="1" xfId="0" applyNumberFormat="1" applyFont="1" applyFill="1" applyBorder="1" applyAlignment="1">
      <alignment horizontal="left" vertical="center" wrapText="1"/>
    </xf>
    <xf numFmtId="0" fontId="2" fillId="2" borderId="2" xfId="1" applyNumberFormat="1" applyFont="1" applyFill="1" applyBorder="1" applyAlignment="1">
      <alignment horizontal="left" vertical="center" wrapText="1"/>
    </xf>
    <xf numFmtId="0" fontId="2" fillId="2" borderId="3" xfId="1" applyNumberFormat="1" applyFont="1" applyFill="1" applyBorder="1" applyAlignment="1">
      <alignment horizontal="left" vertical="center" wrapText="1"/>
    </xf>
    <xf numFmtId="0" fontId="2" fillId="2" borderId="4" xfId="1" applyNumberFormat="1" applyFont="1" applyFill="1" applyBorder="1" applyAlignment="1">
      <alignment horizontal="left" vertical="center" wrapText="1"/>
    </xf>
    <xf numFmtId="0" fontId="2" fillId="2" borderId="2" xfId="0" applyNumberFormat="1" applyFont="1" applyFill="1" applyBorder="1" applyAlignment="1">
      <alignment horizontal="left" vertical="top" wrapText="1"/>
    </xf>
    <xf numFmtId="0" fontId="2" fillId="2" borderId="3" xfId="0" applyNumberFormat="1" applyFont="1" applyFill="1" applyBorder="1" applyAlignment="1">
      <alignment horizontal="left" vertical="top" wrapText="1"/>
    </xf>
    <xf numFmtId="0" fontId="2" fillId="2" borderId="4" xfId="0" applyNumberFormat="1" applyFont="1" applyFill="1" applyBorder="1" applyAlignment="1">
      <alignment horizontal="left" vertical="top" wrapText="1"/>
    </xf>
    <xf numFmtId="0" fontId="2" fillId="7" borderId="2" xfId="0" applyNumberFormat="1" applyFont="1" applyFill="1" applyBorder="1" applyAlignment="1">
      <alignment horizontal="left" vertical="center" wrapText="1"/>
    </xf>
    <xf numFmtId="0" fontId="2" fillId="7" borderId="3" xfId="0" applyNumberFormat="1" applyFont="1" applyFill="1" applyBorder="1" applyAlignment="1">
      <alignment horizontal="left" vertical="center" wrapText="1"/>
    </xf>
    <xf numFmtId="0" fontId="2" fillId="7" borderId="4" xfId="0" applyNumberFormat="1" applyFont="1" applyFill="1" applyBorder="1" applyAlignment="1">
      <alignment horizontal="left" vertical="center" wrapText="1"/>
    </xf>
    <xf numFmtId="0" fontId="0" fillId="2" borderId="3" xfId="0" applyFont="1" applyFill="1" applyBorder="1" applyAlignment="1">
      <alignment horizontal="left" vertical="center" wrapText="1"/>
    </xf>
    <xf numFmtId="0" fontId="0" fillId="2" borderId="4" xfId="0" applyFont="1" applyFill="1" applyBorder="1" applyAlignment="1">
      <alignment horizontal="left" vertical="center" wrapText="1"/>
    </xf>
    <xf numFmtId="0" fontId="2" fillId="2" borderId="1" xfId="0" applyNumberFormat="1" applyFont="1" applyFill="1" applyBorder="1" applyAlignment="1">
      <alignment vertical="center" wrapText="1"/>
    </xf>
    <xf numFmtId="1" fontId="2" fillId="2" borderId="1" xfId="0" applyNumberFormat="1" applyFont="1" applyFill="1" applyBorder="1" applyAlignment="1">
      <alignment vertical="center" wrapText="1"/>
    </xf>
    <xf numFmtId="1" fontId="2" fillId="0" borderId="1" xfId="0" applyNumberFormat="1" applyFont="1" applyBorder="1" applyAlignment="1">
      <alignment vertical="center" wrapText="1"/>
    </xf>
    <xf numFmtId="1" fontId="8" fillId="0" borderId="1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0" fontId="7" fillId="3" borderId="1" xfId="0" applyNumberFormat="1" applyFont="1" applyFill="1" applyBorder="1" applyAlignment="1">
      <alignment horizontal="center" vertical="center" wrapText="1"/>
    </xf>
    <xf numFmtId="1" fontId="7" fillId="3" borderId="1" xfId="0" applyNumberFormat="1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0" xfId="0" applyNumberFormat="1" applyFont="1" applyBorder="1" applyAlignment="1">
      <alignment horizontal="right" vertical="center" wrapText="1"/>
    </xf>
    <xf numFmtId="1" fontId="2" fillId="0" borderId="0" xfId="0" applyNumberFormat="1" applyFont="1" applyBorder="1" applyAlignment="1">
      <alignment horizontal="right" vertical="center" wrapText="1"/>
    </xf>
    <xf numFmtId="1" fontId="5" fillId="3" borderId="2" xfId="0" applyNumberFormat="1" applyFont="1" applyFill="1" applyBorder="1" applyAlignment="1">
      <alignment horizontal="center" vertical="center" wrapText="1"/>
    </xf>
    <xf numFmtId="1" fontId="5" fillId="3" borderId="3" xfId="0" applyNumberFormat="1" applyFont="1" applyFill="1" applyBorder="1" applyAlignment="1">
      <alignment horizontal="center" vertical="center" wrapText="1"/>
    </xf>
    <xf numFmtId="1" fontId="5" fillId="3" borderId="4" xfId="0" applyNumberFormat="1" applyFont="1" applyFill="1" applyBorder="1" applyAlignment="1">
      <alignment horizontal="center" vertical="center" wrapText="1"/>
    </xf>
    <xf numFmtId="1" fontId="15" fillId="0" borderId="0" xfId="0" applyNumberFormat="1" applyFont="1" applyBorder="1" applyAlignment="1">
      <alignment horizontal="right" vertical="center" wrapText="1"/>
    </xf>
    <xf numFmtId="1" fontId="15" fillId="0" borderId="6" xfId="0" applyNumberFormat="1" applyFont="1" applyBorder="1" applyAlignment="1">
      <alignment horizontal="right" vertical="center" wrapText="1"/>
    </xf>
  </cellXfs>
  <cellStyles count="2">
    <cellStyle name="Обычный" xfId="0" builtinId="0"/>
    <cellStyle name="Обычный 2" xfId="1" xr:uid="{00000000-0005-0000-0000-000031000000}"/>
  </cellStyles>
  <dxfs count="0"/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AAAAAA"/>
      <rgbColor rgb="00C0C0C0"/>
      <rgbColor rgb="000000FF"/>
      <rgbColor rgb="00FFFFFF"/>
      <rgbColor rgb="00BFBFBF"/>
      <rgbColor rgb="00FF0000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ECD2"/>
      <color rgb="FFCED3E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8</xdr:col>
      <xdr:colOff>209550</xdr:colOff>
      <xdr:row>4</xdr:row>
      <xdr:rowOff>84283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BC0C9920-405A-4835-B9EA-9A688D42D4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70100" y="0"/>
          <a:ext cx="2711450" cy="9732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404040"/>
      </a:dk2>
      <a:lt2>
        <a:srgbClr val="BFBFBF"/>
      </a:lt2>
      <a:accent1>
        <a:srgbClr val="499BC9"/>
      </a:accent1>
      <a:accent2>
        <a:srgbClr val="6EC038"/>
      </a:accent2>
      <a:accent3>
        <a:srgbClr val="F1D130"/>
      </a:accent3>
      <a:accent4>
        <a:srgbClr val="FFA93A"/>
      </a:accent4>
      <a:accent5>
        <a:srgbClr val="FF2D21"/>
      </a:accent5>
      <a:accent6>
        <a:srgbClr val="6C2085"/>
      </a:accent6>
      <a:hlink>
        <a:srgbClr val="0000FF"/>
      </a:hlink>
      <a:folHlink>
        <a:srgbClr val="FF00FF"/>
      </a:folHlink>
    </a:clrScheme>
    <a:fontScheme name="Blank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blipFill rotWithShape="1">
          <a:srcRect/>
          <a:tile tx="0" ty="0" sx="100000" sy="100000" flip="none" algn="tl"/>
        </a:blipFill>
        <a:ln w="12700" cap="flat">
          <a:noFill/>
          <a:miter lim="400000"/>
        </a:ln>
        <a:effectLst>
          <a:outerShdw blurRad="38100" dist="25400" dir="5400000" rotWithShape="0">
            <a:srgbClr val="000000">
              <a:alpha val="50000"/>
            </a:srgbClr>
          </a:outerShdw>
        </a:effectLst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>
              <a:outerShdw blurRad="25400" dist="23998" dir="2700000" rotWithShape="0">
                <a:srgbClr val="000000">
                  <a:alpha val="31034"/>
                </a:srgbClr>
              </a:outerShdw>
            </a:effectLst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6350" cap="flat">
          <a:solidFill>
            <a:srgbClr val="000000"/>
          </a:solidFill>
          <a:prstDash val="solid"/>
          <a:miter lim="400000"/>
        </a:ln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Q308"/>
  <sheetViews>
    <sheetView showGridLines="0" tabSelected="1" topLeftCell="A70" workbookViewId="0">
      <selection activeCell="L85" sqref="L85"/>
    </sheetView>
  </sheetViews>
  <sheetFormatPr defaultColWidth="6.61328125" defaultRowHeight="15" customHeight="1"/>
  <cols>
    <col min="1" max="1" width="10.61328125" style="6" customWidth="1"/>
    <col min="2" max="2" width="5.07421875" style="6" customWidth="1"/>
    <col min="3" max="3" width="6.07421875" style="6" customWidth="1"/>
    <col min="4" max="4" width="4.84375" style="6" customWidth="1"/>
    <col min="5" max="5" width="5.3828125" style="6" customWidth="1"/>
    <col min="6" max="6" width="5.23046875" style="6" customWidth="1"/>
    <col min="7" max="7" width="4.84375" style="6" customWidth="1"/>
    <col min="8" max="8" width="5.921875" style="6" customWidth="1"/>
    <col min="9" max="9" width="7.07421875" style="6" customWidth="1"/>
    <col min="10" max="10" width="13.4609375" style="6" customWidth="1"/>
    <col min="11" max="11" width="8.4609375" style="6" customWidth="1"/>
    <col min="12" max="243" width="6.61328125" style="6" customWidth="1"/>
    <col min="244" max="16384" width="6.61328125" style="7"/>
  </cols>
  <sheetData>
    <row r="1" spans="1:243" ht="12.75" customHeight="1">
      <c r="A1" s="186"/>
      <c r="B1" s="186"/>
      <c r="C1" s="186"/>
      <c r="D1" s="8"/>
      <c r="E1" s="187"/>
      <c r="F1" s="187"/>
      <c r="G1" s="188"/>
      <c r="H1" s="188"/>
      <c r="I1" s="188"/>
      <c r="J1" s="188"/>
      <c r="K1" s="30"/>
    </row>
    <row r="2" spans="1:243" ht="13.5" customHeight="1">
      <c r="A2" s="186"/>
      <c r="B2" s="186"/>
      <c r="C2" s="186"/>
      <c r="D2" s="8"/>
      <c r="E2" s="8"/>
      <c r="F2" s="8"/>
      <c r="G2" s="9"/>
      <c r="H2" s="8"/>
      <c r="I2" s="187"/>
      <c r="J2" s="188"/>
      <c r="K2" s="30"/>
    </row>
    <row r="3" spans="1:243" ht="15" customHeight="1">
      <c r="A3" s="186"/>
      <c r="B3" s="186"/>
      <c r="C3" s="186"/>
      <c r="D3" s="8"/>
      <c r="E3" s="10"/>
      <c r="F3" s="10"/>
      <c r="G3" s="11"/>
      <c r="H3" s="11"/>
      <c r="I3" s="192"/>
      <c r="J3" s="192"/>
      <c r="K3" s="30"/>
    </row>
    <row r="4" spans="1:243" ht="29.25" customHeight="1">
      <c r="A4" s="8"/>
      <c r="B4" s="8"/>
      <c r="C4" s="8"/>
      <c r="D4" s="8"/>
      <c r="E4" s="8"/>
      <c r="F4" s="8"/>
      <c r="G4" s="9"/>
      <c r="H4" s="8"/>
      <c r="I4" s="193"/>
      <c r="J4" s="193"/>
      <c r="K4" s="30"/>
    </row>
    <row r="5" spans="1:243" ht="15" customHeight="1">
      <c r="A5" s="108" t="s">
        <v>309</v>
      </c>
      <c r="B5" s="109"/>
      <c r="C5" s="109"/>
      <c r="D5" s="109"/>
      <c r="E5" s="109"/>
      <c r="F5" s="109"/>
      <c r="G5" s="109"/>
      <c r="H5" s="109"/>
      <c r="I5" s="109"/>
      <c r="J5" s="109"/>
      <c r="K5" s="30"/>
    </row>
    <row r="6" spans="1:243" ht="15" customHeight="1">
      <c r="A6" s="103" t="s">
        <v>0</v>
      </c>
      <c r="B6" s="104"/>
      <c r="C6" s="104"/>
      <c r="D6" s="103" t="s">
        <v>1</v>
      </c>
      <c r="E6" s="104"/>
      <c r="F6" s="189" t="s">
        <v>2</v>
      </c>
      <c r="G6" s="190"/>
      <c r="H6" s="191"/>
      <c r="I6" s="103" t="s">
        <v>3</v>
      </c>
      <c r="J6" s="104"/>
      <c r="K6" s="30"/>
    </row>
    <row r="7" spans="1:243" s="1" customFormat="1" ht="24.9" customHeight="1">
      <c r="A7" s="104"/>
      <c r="B7" s="104"/>
      <c r="C7" s="104"/>
      <c r="D7" s="104"/>
      <c r="E7" s="104"/>
      <c r="F7" s="13" t="s">
        <v>4</v>
      </c>
      <c r="G7" s="12" t="s">
        <v>5</v>
      </c>
      <c r="H7" s="12" t="s">
        <v>6</v>
      </c>
      <c r="I7" s="104"/>
      <c r="J7" s="104"/>
      <c r="K7" s="31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  <c r="EY7" s="32"/>
      <c r="EZ7" s="32"/>
      <c r="FA7" s="32"/>
      <c r="FB7" s="32"/>
      <c r="FC7" s="32"/>
      <c r="FD7" s="32"/>
      <c r="FE7" s="32"/>
      <c r="FF7" s="32"/>
      <c r="FG7" s="32"/>
      <c r="FH7" s="32"/>
      <c r="FI7" s="32"/>
      <c r="FJ7" s="32"/>
      <c r="FK7" s="32"/>
      <c r="FL7" s="32"/>
      <c r="FM7" s="32"/>
      <c r="FN7" s="32"/>
      <c r="FO7" s="32"/>
      <c r="FP7" s="32"/>
      <c r="FQ7" s="32"/>
      <c r="FR7" s="32"/>
      <c r="FS7" s="32"/>
      <c r="FT7" s="32"/>
      <c r="FU7" s="32"/>
      <c r="FV7" s="32"/>
      <c r="FW7" s="32"/>
      <c r="FX7" s="32"/>
      <c r="FY7" s="32"/>
      <c r="FZ7" s="32"/>
      <c r="GA7" s="32"/>
      <c r="GB7" s="32"/>
      <c r="GC7" s="32"/>
      <c r="GD7" s="32"/>
      <c r="GE7" s="32"/>
      <c r="GF7" s="32"/>
      <c r="GG7" s="32"/>
      <c r="GH7" s="32"/>
      <c r="GI7" s="32"/>
      <c r="GJ7" s="32"/>
      <c r="GK7" s="32"/>
      <c r="GL7" s="32"/>
      <c r="GM7" s="32"/>
      <c r="GN7" s="32"/>
      <c r="GO7" s="32"/>
      <c r="GP7" s="32"/>
      <c r="GQ7" s="32"/>
      <c r="GR7" s="32"/>
      <c r="GS7" s="32"/>
      <c r="GT7" s="32"/>
      <c r="GU7" s="32"/>
      <c r="GV7" s="32"/>
      <c r="GW7" s="32"/>
      <c r="GX7" s="32"/>
      <c r="GY7" s="32"/>
      <c r="GZ7" s="32"/>
      <c r="HA7" s="32"/>
      <c r="HB7" s="32"/>
      <c r="HC7" s="32"/>
      <c r="HD7" s="32"/>
      <c r="HE7" s="32"/>
      <c r="HF7" s="32"/>
      <c r="HG7" s="32"/>
      <c r="HH7" s="32"/>
      <c r="HI7" s="32"/>
      <c r="HJ7" s="32"/>
      <c r="HK7" s="32"/>
      <c r="HL7" s="32"/>
      <c r="HM7" s="32"/>
      <c r="HN7" s="32"/>
      <c r="HO7" s="32"/>
      <c r="HP7" s="32"/>
      <c r="HQ7" s="32"/>
      <c r="HR7" s="32"/>
      <c r="HS7" s="32"/>
      <c r="HT7" s="32"/>
      <c r="HU7" s="32"/>
      <c r="HV7" s="32"/>
      <c r="HW7" s="32"/>
      <c r="HX7" s="32"/>
      <c r="HY7" s="32"/>
      <c r="HZ7" s="32"/>
      <c r="IA7" s="32"/>
      <c r="IB7" s="32"/>
      <c r="IC7" s="32"/>
      <c r="ID7" s="32"/>
      <c r="IE7" s="32"/>
      <c r="IF7" s="32"/>
      <c r="IG7" s="32"/>
      <c r="IH7" s="32"/>
      <c r="II7" s="32"/>
    </row>
    <row r="8" spans="1:243" ht="15" customHeight="1">
      <c r="A8" s="183"/>
      <c r="B8" s="183"/>
      <c r="C8" s="183"/>
      <c r="D8" s="183"/>
      <c r="E8" s="183"/>
      <c r="F8" s="15"/>
      <c r="G8" s="16"/>
      <c r="H8" s="16"/>
      <c r="I8" s="183"/>
      <c r="J8" s="183"/>
      <c r="K8" s="30"/>
    </row>
    <row r="9" spans="1:243" ht="15" customHeight="1">
      <c r="A9" s="12" t="s">
        <v>7</v>
      </c>
      <c r="B9" s="103" t="s">
        <v>8</v>
      </c>
      <c r="C9" s="104"/>
      <c r="D9" s="12" t="s">
        <v>9</v>
      </c>
      <c r="E9" s="12" t="s">
        <v>10</v>
      </c>
      <c r="F9" s="17" t="s">
        <v>11</v>
      </c>
      <c r="G9" s="103" t="s">
        <v>12</v>
      </c>
      <c r="H9" s="104"/>
      <c r="I9" s="103" t="s">
        <v>13</v>
      </c>
      <c r="J9" s="104"/>
      <c r="K9" s="30"/>
    </row>
    <row r="10" spans="1:243" ht="15" customHeight="1">
      <c r="A10" s="18"/>
      <c r="B10" s="183"/>
      <c r="C10" s="183"/>
      <c r="D10" s="19">
        <v>1</v>
      </c>
      <c r="E10" s="20"/>
      <c r="F10" s="20"/>
      <c r="G10" s="183"/>
      <c r="H10" s="183"/>
      <c r="I10" s="183"/>
      <c r="J10" s="183"/>
      <c r="K10" s="30"/>
    </row>
    <row r="11" spans="1:243" ht="15" customHeight="1">
      <c r="A11" s="184" t="s">
        <v>14</v>
      </c>
      <c r="B11" s="185"/>
      <c r="C11" s="185"/>
      <c r="D11" s="185"/>
      <c r="E11" s="103" t="s">
        <v>15</v>
      </c>
      <c r="F11" s="103"/>
      <c r="G11" s="104"/>
      <c r="H11" s="104"/>
      <c r="I11" s="103" t="s">
        <v>16</v>
      </c>
      <c r="J11" s="104"/>
      <c r="K11" s="30"/>
    </row>
    <row r="12" spans="1:243" ht="15" customHeight="1">
      <c r="A12" s="181"/>
      <c r="B12" s="181"/>
      <c r="C12" s="181"/>
      <c r="D12" s="181"/>
      <c r="E12" s="182"/>
      <c r="F12" s="182"/>
      <c r="G12" s="183"/>
      <c r="H12" s="183"/>
      <c r="I12" s="181"/>
      <c r="J12" s="181"/>
      <c r="K12" s="30"/>
    </row>
    <row r="13" spans="1:243" ht="15" customHeight="1">
      <c r="A13" s="128" t="s">
        <v>17</v>
      </c>
      <c r="B13" s="129"/>
      <c r="C13" s="129"/>
      <c r="D13" s="129"/>
      <c r="E13" s="129"/>
      <c r="F13" s="129"/>
      <c r="G13" s="129"/>
      <c r="H13" s="129"/>
      <c r="I13" s="129"/>
      <c r="J13" s="130"/>
      <c r="K13" s="30"/>
    </row>
    <row r="14" spans="1:243" ht="24.9" customHeight="1">
      <c r="A14" s="103" t="s">
        <v>18</v>
      </c>
      <c r="B14" s="104"/>
      <c r="C14" s="104"/>
      <c r="D14" s="104"/>
      <c r="E14" s="12" t="s">
        <v>19</v>
      </c>
      <c r="F14" s="12" t="s">
        <v>20</v>
      </c>
      <c r="G14" s="12" t="s">
        <v>21</v>
      </c>
      <c r="H14" s="12" t="s">
        <v>22</v>
      </c>
      <c r="I14" s="12" t="s">
        <v>23</v>
      </c>
      <c r="J14" s="12"/>
      <c r="K14" s="30"/>
    </row>
    <row r="15" spans="1:243" ht="15" customHeight="1">
      <c r="A15" s="105" t="s">
        <v>24</v>
      </c>
      <c r="B15" s="106"/>
      <c r="C15" s="106"/>
      <c r="D15" s="107"/>
      <c r="E15" s="26">
        <v>15</v>
      </c>
      <c r="F15" s="23">
        <f t="shared" ref="F15:F18" si="0">E15*H15/$D$10</f>
        <v>0</v>
      </c>
      <c r="G15" s="26">
        <v>170</v>
      </c>
      <c r="H15" s="26"/>
      <c r="I15" s="23">
        <f t="shared" ref="I15:I17" si="1">H15*G15</f>
        <v>0</v>
      </c>
      <c r="J15" s="26"/>
      <c r="K15" s="30"/>
    </row>
    <row r="16" spans="1:243" ht="15" customHeight="1">
      <c r="A16" s="105" t="s">
        <v>25</v>
      </c>
      <c r="B16" s="106"/>
      <c r="C16" s="106"/>
      <c r="D16" s="107"/>
      <c r="E16" s="26">
        <v>15</v>
      </c>
      <c r="F16" s="23">
        <f t="shared" si="0"/>
        <v>0</v>
      </c>
      <c r="G16" s="26">
        <v>150</v>
      </c>
      <c r="H16" s="26"/>
      <c r="I16" s="23">
        <f t="shared" si="1"/>
        <v>0</v>
      </c>
      <c r="J16" s="26"/>
      <c r="K16" s="30"/>
    </row>
    <row r="17" spans="1:251" ht="15" customHeight="1">
      <c r="A17" s="105" t="s">
        <v>26</v>
      </c>
      <c r="B17" s="106"/>
      <c r="C17" s="106"/>
      <c r="D17" s="107"/>
      <c r="E17" s="26">
        <v>15</v>
      </c>
      <c r="F17" s="23">
        <f t="shared" si="0"/>
        <v>0</v>
      </c>
      <c r="G17" s="26">
        <v>90</v>
      </c>
      <c r="H17" s="26"/>
      <c r="I17" s="23">
        <f t="shared" si="1"/>
        <v>0</v>
      </c>
      <c r="J17" s="26"/>
      <c r="K17" s="30"/>
    </row>
    <row r="18" spans="1:251" ht="15" customHeight="1">
      <c r="A18" s="159" t="s">
        <v>27</v>
      </c>
      <c r="B18" s="160"/>
      <c r="C18" s="160"/>
      <c r="D18" s="160"/>
      <c r="E18" s="26">
        <v>25</v>
      </c>
      <c r="F18" s="23">
        <f t="shared" si="0"/>
        <v>0</v>
      </c>
      <c r="G18" s="23">
        <v>65</v>
      </c>
      <c r="H18" s="25"/>
      <c r="I18" s="23">
        <f t="shared" ref="I18:I44" si="2">H18*G18</f>
        <v>0</v>
      </c>
      <c r="J18" s="23"/>
      <c r="K18" s="30"/>
    </row>
    <row r="19" spans="1:251" ht="15" customHeight="1">
      <c r="A19" s="159" t="s">
        <v>28</v>
      </c>
      <c r="B19" s="160"/>
      <c r="C19" s="160"/>
      <c r="D19" s="160"/>
      <c r="E19" s="26">
        <v>30</v>
      </c>
      <c r="F19" s="23">
        <f t="shared" ref="F19:F44" si="3">E19*H19/$D$10</f>
        <v>0</v>
      </c>
      <c r="G19" s="23">
        <v>90</v>
      </c>
      <c r="H19" s="25"/>
      <c r="I19" s="23">
        <f t="shared" si="2"/>
        <v>0</v>
      </c>
      <c r="J19" s="23"/>
      <c r="K19" s="30"/>
    </row>
    <row r="20" spans="1:251" ht="15" customHeight="1">
      <c r="A20" s="159" t="s">
        <v>29</v>
      </c>
      <c r="B20" s="160"/>
      <c r="C20" s="160"/>
      <c r="D20" s="160"/>
      <c r="E20" s="26">
        <v>35</v>
      </c>
      <c r="F20" s="23">
        <f t="shared" si="3"/>
        <v>0</v>
      </c>
      <c r="G20" s="23">
        <v>210</v>
      </c>
      <c r="H20" s="25"/>
      <c r="I20" s="23">
        <f t="shared" si="2"/>
        <v>0</v>
      </c>
      <c r="J20" s="23"/>
      <c r="K20" s="30"/>
    </row>
    <row r="21" spans="1:251" ht="24.9" customHeight="1">
      <c r="A21" s="105" t="s">
        <v>30</v>
      </c>
      <c r="B21" s="106"/>
      <c r="C21" s="106"/>
      <c r="D21" s="107"/>
      <c r="E21" s="26">
        <v>19</v>
      </c>
      <c r="F21" s="23">
        <f t="shared" si="3"/>
        <v>0</v>
      </c>
      <c r="G21" s="23">
        <v>80</v>
      </c>
      <c r="H21" s="25"/>
      <c r="I21" s="23">
        <f t="shared" si="2"/>
        <v>0</v>
      </c>
      <c r="J21" s="23"/>
      <c r="K21" s="30"/>
    </row>
    <row r="22" spans="1:251" ht="24.9" customHeight="1">
      <c r="A22" s="105" t="s">
        <v>31</v>
      </c>
      <c r="B22" s="106"/>
      <c r="C22" s="106"/>
      <c r="D22" s="107"/>
      <c r="E22" s="26">
        <v>22</v>
      </c>
      <c r="F22" s="23">
        <f t="shared" si="3"/>
        <v>0</v>
      </c>
      <c r="G22" s="23">
        <v>95</v>
      </c>
      <c r="H22" s="25"/>
      <c r="I22" s="23">
        <f t="shared" si="2"/>
        <v>0</v>
      </c>
      <c r="J22" s="23"/>
      <c r="K22" s="30"/>
    </row>
    <row r="23" spans="1:251" ht="24.9" customHeight="1">
      <c r="A23" s="105" t="s">
        <v>32</v>
      </c>
      <c r="B23" s="106"/>
      <c r="C23" s="106"/>
      <c r="D23" s="107"/>
      <c r="E23" s="26">
        <v>36</v>
      </c>
      <c r="F23" s="23">
        <f t="shared" si="3"/>
        <v>0</v>
      </c>
      <c r="G23" s="23">
        <v>70</v>
      </c>
      <c r="H23" s="25"/>
      <c r="I23" s="23">
        <f t="shared" si="2"/>
        <v>0</v>
      </c>
      <c r="J23" s="23"/>
      <c r="K23" s="30"/>
    </row>
    <row r="24" spans="1:251" ht="24.9" customHeight="1">
      <c r="A24" s="105" t="s">
        <v>33</v>
      </c>
      <c r="B24" s="106"/>
      <c r="C24" s="106"/>
      <c r="D24" s="107"/>
      <c r="E24" s="26">
        <v>15</v>
      </c>
      <c r="F24" s="23">
        <f t="shared" si="3"/>
        <v>0</v>
      </c>
      <c r="G24" s="23">
        <v>90</v>
      </c>
      <c r="H24" s="25"/>
      <c r="I24" s="23">
        <f t="shared" si="2"/>
        <v>0</v>
      </c>
      <c r="J24" s="23"/>
      <c r="K24" s="30"/>
    </row>
    <row r="25" spans="1:251" ht="15" customHeight="1">
      <c r="A25" s="105" t="s">
        <v>34</v>
      </c>
      <c r="B25" s="106"/>
      <c r="C25" s="106"/>
      <c r="D25" s="107"/>
      <c r="E25" s="26">
        <v>20</v>
      </c>
      <c r="F25" s="23">
        <f t="shared" si="3"/>
        <v>0</v>
      </c>
      <c r="G25" s="23">
        <v>55</v>
      </c>
      <c r="H25" s="26"/>
      <c r="I25" s="23">
        <f t="shared" si="2"/>
        <v>0</v>
      </c>
      <c r="J25" s="23"/>
      <c r="K25" s="30"/>
    </row>
    <row r="26" spans="1:251" ht="15" customHeight="1">
      <c r="A26" s="159" t="s">
        <v>35</v>
      </c>
      <c r="B26" s="160"/>
      <c r="C26" s="160"/>
      <c r="D26" s="160"/>
      <c r="E26" s="26">
        <v>30</v>
      </c>
      <c r="F26" s="23">
        <f t="shared" si="3"/>
        <v>0</v>
      </c>
      <c r="G26" s="23">
        <v>80</v>
      </c>
      <c r="H26" s="25"/>
      <c r="I26" s="23">
        <f t="shared" si="2"/>
        <v>0</v>
      </c>
      <c r="J26" s="23"/>
      <c r="K26" s="30"/>
    </row>
    <row r="27" spans="1:251" s="2" customFormat="1" ht="15" customHeight="1">
      <c r="A27" s="105" t="s">
        <v>36</v>
      </c>
      <c r="B27" s="106"/>
      <c r="C27" s="106"/>
      <c r="D27" s="107"/>
      <c r="E27" s="26">
        <v>12</v>
      </c>
      <c r="F27" s="23">
        <f t="shared" si="3"/>
        <v>0</v>
      </c>
      <c r="G27" s="23">
        <v>90</v>
      </c>
      <c r="H27" s="26"/>
      <c r="I27" s="23">
        <f t="shared" si="2"/>
        <v>0</v>
      </c>
      <c r="J27" s="23"/>
      <c r="K27" s="30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6"/>
      <c r="DV27" s="6"/>
      <c r="DW27" s="6"/>
      <c r="DX27" s="6"/>
      <c r="DY27" s="6"/>
      <c r="DZ27" s="6"/>
      <c r="EA27" s="6"/>
      <c r="EB27" s="6"/>
      <c r="EC27" s="6"/>
      <c r="ED27" s="6"/>
      <c r="EE27" s="6"/>
      <c r="EF27" s="6"/>
      <c r="EG27" s="6"/>
      <c r="EH27" s="6"/>
      <c r="EI27" s="6"/>
      <c r="EJ27" s="6"/>
      <c r="EK27" s="6"/>
      <c r="EL27" s="6"/>
      <c r="EM27" s="6"/>
      <c r="EN27" s="6"/>
      <c r="EO27" s="6"/>
      <c r="EP27" s="6"/>
      <c r="EQ27" s="6"/>
      <c r="ER27" s="6"/>
      <c r="ES27" s="6"/>
      <c r="ET27" s="6"/>
      <c r="EU27" s="6"/>
      <c r="EV27" s="6"/>
      <c r="EW27" s="6"/>
      <c r="EX27" s="6"/>
      <c r="EY27" s="6"/>
      <c r="EZ27" s="6"/>
      <c r="FA27" s="6"/>
      <c r="FB27" s="6"/>
      <c r="FC27" s="6"/>
      <c r="FD27" s="6"/>
      <c r="FE27" s="6"/>
      <c r="FF27" s="6"/>
      <c r="FG27" s="6"/>
      <c r="FH27" s="6"/>
      <c r="FI27" s="6"/>
      <c r="FJ27" s="6"/>
      <c r="FK27" s="6"/>
      <c r="FL27" s="6"/>
      <c r="FM27" s="6"/>
      <c r="FN27" s="6"/>
      <c r="FO27" s="6"/>
      <c r="FP27" s="6"/>
      <c r="FQ27" s="6"/>
      <c r="FR27" s="6"/>
      <c r="FS27" s="6"/>
      <c r="FT27" s="6"/>
      <c r="FU27" s="6"/>
      <c r="FV27" s="6"/>
      <c r="FW27" s="6"/>
      <c r="FX27" s="6"/>
      <c r="FY27" s="6"/>
      <c r="FZ27" s="6"/>
      <c r="GA27" s="6"/>
      <c r="GB27" s="6"/>
      <c r="GC27" s="6"/>
      <c r="GD27" s="6"/>
      <c r="GE27" s="6"/>
      <c r="GF27" s="6"/>
      <c r="GG27" s="6"/>
      <c r="GH27" s="6"/>
      <c r="GI27" s="6"/>
      <c r="GJ27" s="6"/>
      <c r="GK27" s="6"/>
      <c r="GL27" s="6"/>
      <c r="GM27" s="6"/>
      <c r="GN27" s="6"/>
      <c r="GO27" s="6"/>
      <c r="GP27" s="6"/>
      <c r="GQ27" s="6"/>
      <c r="GR27" s="6"/>
      <c r="GS27" s="6"/>
      <c r="GT27" s="6"/>
      <c r="GU27" s="6"/>
      <c r="GV27" s="6"/>
      <c r="GW27" s="6"/>
      <c r="GX27" s="6"/>
      <c r="GY27" s="6"/>
      <c r="GZ27" s="6"/>
      <c r="HA27" s="6"/>
      <c r="HB27" s="6"/>
      <c r="HC27" s="6"/>
      <c r="HD27" s="6"/>
      <c r="HE27" s="6"/>
      <c r="HF27" s="6"/>
      <c r="HG27" s="6"/>
      <c r="HH27" s="6"/>
      <c r="HI27" s="6"/>
      <c r="HJ27" s="6"/>
      <c r="HK27" s="6"/>
      <c r="HL27" s="6"/>
      <c r="HM27" s="6"/>
      <c r="HN27" s="6"/>
      <c r="HO27" s="6"/>
      <c r="HP27" s="6"/>
      <c r="HQ27" s="6"/>
      <c r="HR27" s="6"/>
      <c r="HS27" s="6"/>
      <c r="HT27" s="6"/>
      <c r="HU27" s="6"/>
      <c r="HV27" s="6"/>
      <c r="HW27" s="6"/>
      <c r="HX27" s="6"/>
      <c r="HY27" s="6"/>
      <c r="HZ27" s="6"/>
      <c r="IA27" s="6"/>
      <c r="IB27" s="6"/>
      <c r="IC27" s="6"/>
      <c r="ID27" s="6"/>
      <c r="IE27" s="6"/>
      <c r="IF27" s="6"/>
      <c r="IG27" s="6"/>
      <c r="IH27" s="6"/>
      <c r="II27" s="6"/>
      <c r="IJ27" s="6"/>
      <c r="IK27" s="6"/>
      <c r="IL27" s="6"/>
      <c r="IM27" s="6"/>
      <c r="IN27" s="6"/>
      <c r="IO27" s="6"/>
      <c r="IP27" s="6"/>
      <c r="IQ27" s="6"/>
    </row>
    <row r="28" spans="1:251" s="2" customFormat="1" ht="15" customHeight="1">
      <c r="A28" s="105" t="s">
        <v>37</v>
      </c>
      <c r="B28" s="106"/>
      <c r="C28" s="106"/>
      <c r="D28" s="107"/>
      <c r="E28" s="26">
        <v>19</v>
      </c>
      <c r="F28" s="23">
        <f t="shared" si="3"/>
        <v>0</v>
      </c>
      <c r="G28" s="23">
        <v>120</v>
      </c>
      <c r="H28" s="26"/>
      <c r="I28" s="23">
        <f t="shared" si="2"/>
        <v>0</v>
      </c>
      <c r="J28" s="23"/>
      <c r="K28" s="30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6"/>
      <c r="DV28" s="6"/>
      <c r="DW28" s="6"/>
      <c r="DX28" s="6"/>
      <c r="DY28" s="6"/>
      <c r="DZ28" s="6"/>
      <c r="EA28" s="6"/>
      <c r="EB28" s="6"/>
      <c r="EC28" s="6"/>
      <c r="ED28" s="6"/>
      <c r="EE28" s="6"/>
      <c r="EF28" s="6"/>
      <c r="EG28" s="6"/>
      <c r="EH28" s="6"/>
      <c r="EI28" s="6"/>
      <c r="EJ28" s="6"/>
      <c r="EK28" s="6"/>
      <c r="EL28" s="6"/>
      <c r="EM28" s="6"/>
      <c r="EN28" s="6"/>
      <c r="EO28" s="6"/>
      <c r="EP28" s="6"/>
      <c r="EQ28" s="6"/>
      <c r="ER28" s="6"/>
      <c r="ES28" s="6"/>
      <c r="ET28" s="6"/>
      <c r="EU28" s="6"/>
      <c r="EV28" s="6"/>
      <c r="EW28" s="6"/>
      <c r="EX28" s="6"/>
      <c r="EY28" s="6"/>
      <c r="EZ28" s="6"/>
      <c r="FA28" s="6"/>
      <c r="FB28" s="6"/>
      <c r="FC28" s="6"/>
      <c r="FD28" s="6"/>
      <c r="FE28" s="6"/>
      <c r="FF28" s="6"/>
      <c r="FG28" s="6"/>
      <c r="FH28" s="6"/>
      <c r="FI28" s="6"/>
      <c r="FJ28" s="6"/>
      <c r="FK28" s="6"/>
      <c r="FL28" s="6"/>
      <c r="FM28" s="6"/>
      <c r="FN28" s="6"/>
      <c r="FO28" s="6"/>
      <c r="FP28" s="6"/>
      <c r="FQ28" s="6"/>
      <c r="FR28" s="6"/>
      <c r="FS28" s="6"/>
      <c r="FT28" s="6"/>
      <c r="FU28" s="6"/>
      <c r="FV28" s="6"/>
      <c r="FW28" s="6"/>
      <c r="FX28" s="6"/>
      <c r="FY28" s="6"/>
      <c r="FZ28" s="6"/>
      <c r="GA28" s="6"/>
      <c r="GB28" s="6"/>
      <c r="GC28" s="6"/>
      <c r="GD28" s="6"/>
      <c r="GE28" s="6"/>
      <c r="GF28" s="6"/>
      <c r="GG28" s="6"/>
      <c r="GH28" s="6"/>
      <c r="GI28" s="6"/>
      <c r="GJ28" s="6"/>
      <c r="GK28" s="6"/>
      <c r="GL28" s="6"/>
      <c r="GM28" s="6"/>
      <c r="GN28" s="6"/>
      <c r="GO28" s="6"/>
      <c r="GP28" s="6"/>
      <c r="GQ28" s="6"/>
      <c r="GR28" s="6"/>
      <c r="GS28" s="6"/>
      <c r="GT28" s="6"/>
      <c r="GU28" s="6"/>
      <c r="GV28" s="6"/>
      <c r="GW28" s="6"/>
      <c r="GX28" s="6"/>
      <c r="GY28" s="6"/>
      <c r="GZ28" s="6"/>
      <c r="HA28" s="6"/>
      <c r="HB28" s="6"/>
      <c r="HC28" s="6"/>
      <c r="HD28" s="6"/>
      <c r="HE28" s="6"/>
      <c r="HF28" s="6"/>
      <c r="HG28" s="6"/>
      <c r="HH28" s="6"/>
      <c r="HI28" s="6"/>
      <c r="HJ28" s="6"/>
      <c r="HK28" s="6"/>
      <c r="HL28" s="6"/>
      <c r="HM28" s="6"/>
      <c r="HN28" s="6"/>
      <c r="HO28" s="6"/>
      <c r="HP28" s="6"/>
      <c r="HQ28" s="6"/>
      <c r="HR28" s="6"/>
      <c r="HS28" s="6"/>
      <c r="HT28" s="6"/>
      <c r="HU28" s="6"/>
      <c r="HV28" s="6"/>
      <c r="HW28" s="6"/>
      <c r="HX28" s="6"/>
      <c r="HY28" s="6"/>
      <c r="HZ28" s="6"/>
      <c r="IA28" s="6"/>
      <c r="IB28" s="6"/>
      <c r="IC28" s="6"/>
      <c r="ID28" s="6"/>
      <c r="IE28" s="6"/>
      <c r="IF28" s="6"/>
      <c r="IG28" s="6"/>
      <c r="IH28" s="6"/>
      <c r="II28" s="6"/>
      <c r="IJ28" s="6"/>
      <c r="IK28" s="6"/>
      <c r="IL28" s="6"/>
      <c r="IM28" s="6"/>
      <c r="IN28" s="6"/>
      <c r="IO28" s="6"/>
      <c r="IP28" s="6"/>
      <c r="IQ28" s="6"/>
    </row>
    <row r="29" spans="1:251" s="2" customFormat="1" ht="24.9" customHeight="1">
      <c r="A29" s="105" t="s">
        <v>38</v>
      </c>
      <c r="B29" s="106"/>
      <c r="C29" s="106"/>
      <c r="D29" s="107"/>
      <c r="E29" s="26">
        <v>20</v>
      </c>
      <c r="F29" s="23">
        <f t="shared" si="3"/>
        <v>0</v>
      </c>
      <c r="G29" s="23">
        <v>75</v>
      </c>
      <c r="H29" s="26"/>
      <c r="I29" s="23">
        <f t="shared" si="2"/>
        <v>0</v>
      </c>
      <c r="J29" s="23"/>
      <c r="K29" s="30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  <c r="DS29" s="6"/>
      <c r="DT29" s="6"/>
      <c r="DU29" s="6"/>
      <c r="DV29" s="6"/>
      <c r="DW29" s="6"/>
      <c r="DX29" s="6"/>
      <c r="DY29" s="6"/>
      <c r="DZ29" s="6"/>
      <c r="EA29" s="6"/>
      <c r="EB29" s="6"/>
      <c r="EC29" s="6"/>
      <c r="ED29" s="6"/>
      <c r="EE29" s="6"/>
      <c r="EF29" s="6"/>
      <c r="EG29" s="6"/>
      <c r="EH29" s="6"/>
      <c r="EI29" s="6"/>
      <c r="EJ29" s="6"/>
      <c r="EK29" s="6"/>
      <c r="EL29" s="6"/>
      <c r="EM29" s="6"/>
      <c r="EN29" s="6"/>
      <c r="EO29" s="6"/>
      <c r="EP29" s="6"/>
      <c r="EQ29" s="6"/>
      <c r="ER29" s="6"/>
      <c r="ES29" s="6"/>
      <c r="ET29" s="6"/>
      <c r="EU29" s="6"/>
      <c r="EV29" s="6"/>
      <c r="EW29" s="6"/>
      <c r="EX29" s="6"/>
      <c r="EY29" s="6"/>
      <c r="EZ29" s="6"/>
      <c r="FA29" s="6"/>
      <c r="FB29" s="6"/>
      <c r="FC29" s="6"/>
      <c r="FD29" s="6"/>
      <c r="FE29" s="6"/>
      <c r="FF29" s="6"/>
      <c r="FG29" s="6"/>
      <c r="FH29" s="6"/>
      <c r="FI29" s="6"/>
      <c r="FJ29" s="6"/>
      <c r="FK29" s="6"/>
      <c r="FL29" s="6"/>
      <c r="FM29" s="6"/>
      <c r="FN29" s="6"/>
      <c r="FO29" s="6"/>
      <c r="FP29" s="6"/>
      <c r="FQ29" s="6"/>
      <c r="FR29" s="6"/>
      <c r="FS29" s="6"/>
      <c r="FT29" s="6"/>
      <c r="FU29" s="6"/>
      <c r="FV29" s="6"/>
      <c r="FW29" s="6"/>
      <c r="FX29" s="6"/>
      <c r="FY29" s="6"/>
      <c r="FZ29" s="6"/>
      <c r="GA29" s="6"/>
      <c r="GB29" s="6"/>
      <c r="GC29" s="6"/>
      <c r="GD29" s="6"/>
      <c r="GE29" s="6"/>
      <c r="GF29" s="6"/>
      <c r="GG29" s="6"/>
      <c r="GH29" s="6"/>
      <c r="GI29" s="6"/>
      <c r="GJ29" s="6"/>
      <c r="GK29" s="6"/>
      <c r="GL29" s="6"/>
      <c r="GM29" s="6"/>
      <c r="GN29" s="6"/>
      <c r="GO29" s="6"/>
      <c r="GP29" s="6"/>
      <c r="GQ29" s="6"/>
      <c r="GR29" s="6"/>
      <c r="GS29" s="6"/>
      <c r="GT29" s="6"/>
      <c r="GU29" s="6"/>
      <c r="GV29" s="6"/>
      <c r="GW29" s="6"/>
      <c r="GX29" s="6"/>
      <c r="GY29" s="6"/>
      <c r="GZ29" s="6"/>
      <c r="HA29" s="6"/>
      <c r="HB29" s="6"/>
      <c r="HC29" s="6"/>
      <c r="HD29" s="6"/>
      <c r="HE29" s="6"/>
      <c r="HF29" s="6"/>
      <c r="HG29" s="6"/>
      <c r="HH29" s="6"/>
      <c r="HI29" s="6"/>
      <c r="HJ29" s="6"/>
      <c r="HK29" s="6"/>
      <c r="HL29" s="6"/>
      <c r="HM29" s="6"/>
      <c r="HN29" s="6"/>
      <c r="HO29" s="6"/>
      <c r="HP29" s="6"/>
      <c r="HQ29" s="6"/>
      <c r="HR29" s="6"/>
      <c r="HS29" s="6"/>
      <c r="HT29" s="6"/>
      <c r="HU29" s="6"/>
      <c r="HV29" s="6"/>
      <c r="HW29" s="6"/>
      <c r="HX29" s="6"/>
      <c r="HY29" s="6"/>
      <c r="HZ29" s="6"/>
      <c r="IA29" s="6"/>
      <c r="IB29" s="6"/>
      <c r="IC29" s="6"/>
      <c r="ID29" s="6"/>
      <c r="IE29" s="6"/>
      <c r="IF29" s="6"/>
      <c r="IG29" s="6"/>
      <c r="IH29" s="6"/>
      <c r="II29" s="6"/>
      <c r="IJ29" s="6"/>
      <c r="IK29" s="6"/>
      <c r="IL29" s="6"/>
      <c r="IM29" s="6"/>
      <c r="IN29" s="6"/>
      <c r="IO29" s="6"/>
      <c r="IP29" s="6"/>
      <c r="IQ29" s="6"/>
    </row>
    <row r="30" spans="1:251" s="2" customFormat="1" ht="24.9" customHeight="1">
      <c r="A30" s="105" t="s">
        <v>39</v>
      </c>
      <c r="B30" s="106"/>
      <c r="C30" s="106"/>
      <c r="D30" s="107"/>
      <c r="E30" s="26">
        <v>19</v>
      </c>
      <c r="F30" s="23">
        <f t="shared" si="3"/>
        <v>0</v>
      </c>
      <c r="G30" s="23">
        <v>80</v>
      </c>
      <c r="H30" s="26"/>
      <c r="I30" s="23">
        <f t="shared" si="2"/>
        <v>0</v>
      </c>
      <c r="J30" s="23"/>
      <c r="K30" s="30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  <c r="DV30" s="6"/>
      <c r="DW30" s="6"/>
      <c r="DX30" s="6"/>
      <c r="DY30" s="6"/>
      <c r="DZ30" s="6"/>
      <c r="EA30" s="6"/>
      <c r="EB30" s="6"/>
      <c r="EC30" s="6"/>
      <c r="ED30" s="6"/>
      <c r="EE30" s="6"/>
      <c r="EF30" s="6"/>
      <c r="EG30" s="6"/>
      <c r="EH30" s="6"/>
      <c r="EI30" s="6"/>
      <c r="EJ30" s="6"/>
      <c r="EK30" s="6"/>
      <c r="EL30" s="6"/>
      <c r="EM30" s="6"/>
      <c r="EN30" s="6"/>
      <c r="EO30" s="6"/>
      <c r="EP30" s="6"/>
      <c r="EQ30" s="6"/>
      <c r="ER30" s="6"/>
      <c r="ES30" s="6"/>
      <c r="ET30" s="6"/>
      <c r="EU30" s="6"/>
      <c r="EV30" s="6"/>
      <c r="EW30" s="6"/>
      <c r="EX30" s="6"/>
      <c r="EY30" s="6"/>
      <c r="EZ30" s="6"/>
      <c r="FA30" s="6"/>
      <c r="FB30" s="6"/>
      <c r="FC30" s="6"/>
      <c r="FD30" s="6"/>
      <c r="FE30" s="6"/>
      <c r="FF30" s="6"/>
      <c r="FG30" s="6"/>
      <c r="FH30" s="6"/>
      <c r="FI30" s="6"/>
      <c r="FJ30" s="6"/>
      <c r="FK30" s="6"/>
      <c r="FL30" s="6"/>
      <c r="FM30" s="6"/>
      <c r="FN30" s="6"/>
      <c r="FO30" s="6"/>
      <c r="FP30" s="6"/>
      <c r="FQ30" s="6"/>
      <c r="FR30" s="6"/>
      <c r="FS30" s="6"/>
      <c r="FT30" s="6"/>
      <c r="FU30" s="6"/>
      <c r="FV30" s="6"/>
      <c r="FW30" s="6"/>
      <c r="FX30" s="6"/>
      <c r="FY30" s="6"/>
      <c r="FZ30" s="6"/>
      <c r="GA30" s="6"/>
      <c r="GB30" s="6"/>
      <c r="GC30" s="6"/>
      <c r="GD30" s="6"/>
      <c r="GE30" s="6"/>
      <c r="GF30" s="6"/>
      <c r="GG30" s="6"/>
      <c r="GH30" s="6"/>
      <c r="GI30" s="6"/>
      <c r="GJ30" s="6"/>
      <c r="GK30" s="6"/>
      <c r="GL30" s="6"/>
      <c r="GM30" s="6"/>
      <c r="GN30" s="6"/>
      <c r="GO30" s="6"/>
      <c r="GP30" s="6"/>
      <c r="GQ30" s="6"/>
      <c r="GR30" s="6"/>
      <c r="GS30" s="6"/>
      <c r="GT30" s="6"/>
      <c r="GU30" s="6"/>
      <c r="GV30" s="6"/>
      <c r="GW30" s="6"/>
      <c r="GX30" s="6"/>
      <c r="GY30" s="6"/>
      <c r="GZ30" s="6"/>
      <c r="HA30" s="6"/>
      <c r="HB30" s="6"/>
      <c r="HC30" s="6"/>
      <c r="HD30" s="6"/>
      <c r="HE30" s="6"/>
      <c r="HF30" s="6"/>
      <c r="HG30" s="6"/>
      <c r="HH30" s="6"/>
      <c r="HI30" s="6"/>
      <c r="HJ30" s="6"/>
      <c r="HK30" s="6"/>
      <c r="HL30" s="6"/>
      <c r="HM30" s="6"/>
      <c r="HN30" s="6"/>
      <c r="HO30" s="6"/>
      <c r="HP30" s="6"/>
      <c r="HQ30" s="6"/>
      <c r="HR30" s="6"/>
      <c r="HS30" s="6"/>
      <c r="HT30" s="6"/>
      <c r="HU30" s="6"/>
      <c r="HV30" s="6"/>
      <c r="HW30" s="6"/>
      <c r="HX30" s="6"/>
      <c r="HY30" s="6"/>
      <c r="HZ30" s="6"/>
      <c r="IA30" s="6"/>
      <c r="IB30" s="6"/>
      <c r="IC30" s="6"/>
      <c r="ID30" s="6"/>
      <c r="IE30" s="6"/>
      <c r="IF30" s="6"/>
      <c r="IG30" s="6"/>
      <c r="IH30" s="6"/>
      <c r="II30" s="6"/>
      <c r="IJ30" s="6"/>
      <c r="IK30" s="6"/>
      <c r="IL30" s="6"/>
      <c r="IM30" s="6"/>
      <c r="IN30" s="6"/>
      <c r="IO30" s="6"/>
      <c r="IP30" s="6"/>
      <c r="IQ30" s="6"/>
    </row>
    <row r="31" spans="1:251" s="2" customFormat="1" ht="24.9" customHeight="1">
      <c r="A31" s="105" t="s">
        <v>40</v>
      </c>
      <c r="B31" s="106"/>
      <c r="C31" s="106"/>
      <c r="D31" s="107"/>
      <c r="E31" s="26">
        <v>18</v>
      </c>
      <c r="F31" s="23">
        <f t="shared" si="3"/>
        <v>0</v>
      </c>
      <c r="G31" s="23">
        <v>80</v>
      </c>
      <c r="H31" s="26"/>
      <c r="I31" s="23">
        <f t="shared" si="2"/>
        <v>0</v>
      </c>
      <c r="J31" s="23"/>
      <c r="K31" s="30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  <c r="DQ31" s="6"/>
      <c r="DR31" s="6"/>
      <c r="DS31" s="6"/>
      <c r="DT31" s="6"/>
      <c r="DU31" s="6"/>
      <c r="DV31" s="6"/>
      <c r="DW31" s="6"/>
      <c r="DX31" s="6"/>
      <c r="DY31" s="6"/>
      <c r="DZ31" s="6"/>
      <c r="EA31" s="6"/>
      <c r="EB31" s="6"/>
      <c r="EC31" s="6"/>
      <c r="ED31" s="6"/>
      <c r="EE31" s="6"/>
      <c r="EF31" s="6"/>
      <c r="EG31" s="6"/>
      <c r="EH31" s="6"/>
      <c r="EI31" s="6"/>
      <c r="EJ31" s="6"/>
      <c r="EK31" s="6"/>
      <c r="EL31" s="6"/>
      <c r="EM31" s="6"/>
      <c r="EN31" s="6"/>
      <c r="EO31" s="6"/>
      <c r="EP31" s="6"/>
      <c r="EQ31" s="6"/>
      <c r="ER31" s="6"/>
      <c r="ES31" s="6"/>
      <c r="ET31" s="6"/>
      <c r="EU31" s="6"/>
      <c r="EV31" s="6"/>
      <c r="EW31" s="6"/>
      <c r="EX31" s="6"/>
      <c r="EY31" s="6"/>
      <c r="EZ31" s="6"/>
      <c r="FA31" s="6"/>
      <c r="FB31" s="6"/>
      <c r="FC31" s="6"/>
      <c r="FD31" s="6"/>
      <c r="FE31" s="6"/>
      <c r="FF31" s="6"/>
      <c r="FG31" s="6"/>
      <c r="FH31" s="6"/>
      <c r="FI31" s="6"/>
      <c r="FJ31" s="6"/>
      <c r="FK31" s="6"/>
      <c r="FL31" s="6"/>
      <c r="FM31" s="6"/>
      <c r="FN31" s="6"/>
      <c r="FO31" s="6"/>
      <c r="FP31" s="6"/>
      <c r="FQ31" s="6"/>
      <c r="FR31" s="6"/>
      <c r="FS31" s="6"/>
      <c r="FT31" s="6"/>
      <c r="FU31" s="6"/>
      <c r="FV31" s="6"/>
      <c r="FW31" s="6"/>
      <c r="FX31" s="6"/>
      <c r="FY31" s="6"/>
      <c r="FZ31" s="6"/>
      <c r="GA31" s="6"/>
      <c r="GB31" s="6"/>
      <c r="GC31" s="6"/>
      <c r="GD31" s="6"/>
      <c r="GE31" s="6"/>
      <c r="GF31" s="6"/>
      <c r="GG31" s="6"/>
      <c r="GH31" s="6"/>
      <c r="GI31" s="6"/>
      <c r="GJ31" s="6"/>
      <c r="GK31" s="6"/>
      <c r="GL31" s="6"/>
      <c r="GM31" s="6"/>
      <c r="GN31" s="6"/>
      <c r="GO31" s="6"/>
      <c r="GP31" s="6"/>
      <c r="GQ31" s="6"/>
      <c r="GR31" s="6"/>
      <c r="GS31" s="6"/>
      <c r="GT31" s="6"/>
      <c r="GU31" s="6"/>
      <c r="GV31" s="6"/>
      <c r="GW31" s="6"/>
      <c r="GX31" s="6"/>
      <c r="GY31" s="6"/>
      <c r="GZ31" s="6"/>
      <c r="HA31" s="6"/>
      <c r="HB31" s="6"/>
      <c r="HC31" s="6"/>
      <c r="HD31" s="6"/>
      <c r="HE31" s="6"/>
      <c r="HF31" s="6"/>
      <c r="HG31" s="6"/>
      <c r="HH31" s="6"/>
      <c r="HI31" s="6"/>
      <c r="HJ31" s="6"/>
      <c r="HK31" s="6"/>
      <c r="HL31" s="6"/>
      <c r="HM31" s="6"/>
      <c r="HN31" s="6"/>
      <c r="HO31" s="6"/>
      <c r="HP31" s="6"/>
      <c r="HQ31" s="6"/>
      <c r="HR31" s="6"/>
      <c r="HS31" s="6"/>
      <c r="HT31" s="6"/>
      <c r="HU31" s="6"/>
      <c r="HV31" s="6"/>
      <c r="HW31" s="6"/>
      <c r="HX31" s="6"/>
      <c r="HY31" s="6"/>
      <c r="HZ31" s="6"/>
      <c r="IA31" s="6"/>
      <c r="IB31" s="6"/>
      <c r="IC31" s="6"/>
      <c r="ID31" s="6"/>
      <c r="IE31" s="6"/>
      <c r="IF31" s="6"/>
      <c r="IG31" s="6"/>
      <c r="IH31" s="6"/>
      <c r="II31" s="6"/>
      <c r="IJ31" s="6"/>
      <c r="IK31" s="6"/>
      <c r="IL31" s="6"/>
      <c r="IM31" s="6"/>
      <c r="IN31" s="6"/>
      <c r="IO31" s="6"/>
      <c r="IP31" s="6"/>
      <c r="IQ31" s="6"/>
    </row>
    <row r="32" spans="1:251" s="2" customFormat="1" ht="24.9" customHeight="1">
      <c r="A32" s="105" t="s">
        <v>41</v>
      </c>
      <c r="B32" s="106"/>
      <c r="C32" s="106"/>
      <c r="D32" s="107"/>
      <c r="E32" s="26">
        <v>15</v>
      </c>
      <c r="F32" s="23">
        <f t="shared" ref="F32" si="4">E32*H32/$D$10</f>
        <v>0</v>
      </c>
      <c r="G32" s="23">
        <v>90</v>
      </c>
      <c r="H32" s="26"/>
      <c r="I32" s="23">
        <f t="shared" ref="I32" si="5">H32*G32</f>
        <v>0</v>
      </c>
      <c r="J32" s="23"/>
      <c r="K32" s="30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/>
      <c r="DO32" s="6"/>
      <c r="DP32" s="6"/>
      <c r="DQ32" s="6"/>
      <c r="DR32" s="6"/>
      <c r="DS32" s="6"/>
      <c r="DT32" s="6"/>
      <c r="DU32" s="6"/>
      <c r="DV32" s="6"/>
      <c r="DW32" s="6"/>
      <c r="DX32" s="6"/>
      <c r="DY32" s="6"/>
      <c r="DZ32" s="6"/>
      <c r="EA32" s="6"/>
      <c r="EB32" s="6"/>
      <c r="EC32" s="6"/>
      <c r="ED32" s="6"/>
      <c r="EE32" s="6"/>
      <c r="EF32" s="6"/>
      <c r="EG32" s="6"/>
      <c r="EH32" s="6"/>
      <c r="EI32" s="6"/>
      <c r="EJ32" s="6"/>
      <c r="EK32" s="6"/>
      <c r="EL32" s="6"/>
      <c r="EM32" s="6"/>
      <c r="EN32" s="6"/>
      <c r="EO32" s="6"/>
      <c r="EP32" s="6"/>
      <c r="EQ32" s="6"/>
      <c r="ER32" s="6"/>
      <c r="ES32" s="6"/>
      <c r="ET32" s="6"/>
      <c r="EU32" s="6"/>
      <c r="EV32" s="6"/>
      <c r="EW32" s="6"/>
      <c r="EX32" s="6"/>
      <c r="EY32" s="6"/>
      <c r="EZ32" s="6"/>
      <c r="FA32" s="6"/>
      <c r="FB32" s="6"/>
      <c r="FC32" s="6"/>
      <c r="FD32" s="6"/>
      <c r="FE32" s="6"/>
      <c r="FF32" s="6"/>
      <c r="FG32" s="6"/>
      <c r="FH32" s="6"/>
      <c r="FI32" s="6"/>
      <c r="FJ32" s="6"/>
      <c r="FK32" s="6"/>
      <c r="FL32" s="6"/>
      <c r="FM32" s="6"/>
      <c r="FN32" s="6"/>
      <c r="FO32" s="6"/>
      <c r="FP32" s="6"/>
      <c r="FQ32" s="6"/>
      <c r="FR32" s="6"/>
      <c r="FS32" s="6"/>
      <c r="FT32" s="6"/>
      <c r="FU32" s="6"/>
      <c r="FV32" s="6"/>
      <c r="FW32" s="6"/>
      <c r="FX32" s="6"/>
      <c r="FY32" s="6"/>
      <c r="FZ32" s="6"/>
      <c r="GA32" s="6"/>
      <c r="GB32" s="6"/>
      <c r="GC32" s="6"/>
      <c r="GD32" s="6"/>
      <c r="GE32" s="6"/>
      <c r="GF32" s="6"/>
      <c r="GG32" s="6"/>
      <c r="GH32" s="6"/>
      <c r="GI32" s="6"/>
      <c r="GJ32" s="6"/>
      <c r="GK32" s="6"/>
      <c r="GL32" s="6"/>
      <c r="GM32" s="6"/>
      <c r="GN32" s="6"/>
      <c r="GO32" s="6"/>
      <c r="GP32" s="6"/>
      <c r="GQ32" s="6"/>
      <c r="GR32" s="6"/>
      <c r="GS32" s="6"/>
      <c r="GT32" s="6"/>
      <c r="GU32" s="6"/>
      <c r="GV32" s="6"/>
      <c r="GW32" s="6"/>
      <c r="GX32" s="6"/>
      <c r="GY32" s="6"/>
      <c r="GZ32" s="6"/>
      <c r="HA32" s="6"/>
      <c r="HB32" s="6"/>
      <c r="HC32" s="6"/>
      <c r="HD32" s="6"/>
      <c r="HE32" s="6"/>
      <c r="HF32" s="6"/>
      <c r="HG32" s="6"/>
      <c r="HH32" s="6"/>
      <c r="HI32" s="6"/>
      <c r="HJ32" s="6"/>
      <c r="HK32" s="6"/>
      <c r="HL32" s="6"/>
      <c r="HM32" s="6"/>
      <c r="HN32" s="6"/>
      <c r="HO32" s="6"/>
      <c r="HP32" s="6"/>
      <c r="HQ32" s="6"/>
      <c r="HR32" s="6"/>
      <c r="HS32" s="6"/>
      <c r="HT32" s="6"/>
      <c r="HU32" s="6"/>
      <c r="HV32" s="6"/>
      <c r="HW32" s="6"/>
      <c r="HX32" s="6"/>
      <c r="HY32" s="6"/>
      <c r="HZ32" s="6"/>
      <c r="IA32" s="6"/>
      <c r="IB32" s="6"/>
      <c r="IC32" s="6"/>
      <c r="ID32" s="6"/>
      <c r="IE32" s="6"/>
      <c r="IF32" s="6"/>
      <c r="IG32" s="6"/>
      <c r="IH32" s="6"/>
      <c r="II32" s="6"/>
      <c r="IJ32" s="6"/>
      <c r="IK32" s="6"/>
      <c r="IL32" s="6"/>
      <c r="IM32" s="6"/>
      <c r="IN32" s="6"/>
      <c r="IO32" s="6"/>
      <c r="IP32" s="6"/>
      <c r="IQ32" s="6"/>
    </row>
    <row r="33" spans="1:55" ht="24.9" customHeight="1">
      <c r="A33" s="105" t="s">
        <v>42</v>
      </c>
      <c r="B33" s="106"/>
      <c r="C33" s="106"/>
      <c r="D33" s="107"/>
      <c r="E33" s="26">
        <v>30</v>
      </c>
      <c r="F33" s="23">
        <f t="shared" si="3"/>
        <v>0</v>
      </c>
      <c r="G33" s="23">
        <v>140</v>
      </c>
      <c r="H33" s="26"/>
      <c r="I33" s="23">
        <f t="shared" si="2"/>
        <v>0</v>
      </c>
      <c r="J33" s="23"/>
      <c r="K33" s="30"/>
    </row>
    <row r="34" spans="1:55" ht="15" customHeight="1">
      <c r="A34" s="105" t="s">
        <v>43</v>
      </c>
      <c r="B34" s="106"/>
      <c r="C34" s="106"/>
      <c r="D34" s="107"/>
      <c r="E34" s="26">
        <v>35</v>
      </c>
      <c r="F34" s="23">
        <f t="shared" si="3"/>
        <v>0</v>
      </c>
      <c r="G34" s="23">
        <v>80</v>
      </c>
      <c r="H34" s="26"/>
      <c r="I34" s="23">
        <f t="shared" si="2"/>
        <v>0</v>
      </c>
      <c r="J34" s="23"/>
      <c r="K34" s="30"/>
    </row>
    <row r="35" spans="1:55" ht="24.9" customHeight="1">
      <c r="A35" s="159" t="s">
        <v>44</v>
      </c>
      <c r="B35" s="160"/>
      <c r="C35" s="160"/>
      <c r="D35" s="160"/>
      <c r="E35" s="26">
        <v>25</v>
      </c>
      <c r="F35" s="23">
        <f t="shared" si="3"/>
        <v>0</v>
      </c>
      <c r="G35" s="23">
        <v>220</v>
      </c>
      <c r="H35" s="26"/>
      <c r="I35" s="23">
        <f t="shared" si="2"/>
        <v>0</v>
      </c>
      <c r="J35" s="23"/>
      <c r="K35" s="30"/>
    </row>
    <row r="36" spans="1:55" ht="15" customHeight="1">
      <c r="A36" s="159" t="s">
        <v>45</v>
      </c>
      <c r="B36" s="160"/>
      <c r="C36" s="160"/>
      <c r="D36" s="160"/>
      <c r="E36" s="26">
        <v>20</v>
      </c>
      <c r="F36" s="23">
        <f t="shared" si="3"/>
        <v>0</v>
      </c>
      <c r="G36" s="23">
        <v>120</v>
      </c>
      <c r="H36" s="26"/>
      <c r="I36" s="23">
        <f t="shared" si="2"/>
        <v>0</v>
      </c>
      <c r="J36" s="23"/>
      <c r="K36" s="30"/>
    </row>
    <row r="37" spans="1:55" ht="15" customHeight="1">
      <c r="A37" s="105" t="s">
        <v>46</v>
      </c>
      <c r="B37" s="106"/>
      <c r="C37" s="106"/>
      <c r="D37" s="107"/>
      <c r="E37" s="26">
        <v>21</v>
      </c>
      <c r="F37" s="23">
        <f t="shared" si="3"/>
        <v>0</v>
      </c>
      <c r="G37" s="23">
        <v>35</v>
      </c>
      <c r="H37" s="26"/>
      <c r="I37" s="23">
        <f t="shared" si="2"/>
        <v>0</v>
      </c>
      <c r="J37" s="23"/>
      <c r="K37" s="30"/>
    </row>
    <row r="38" spans="1:55" ht="15" customHeight="1">
      <c r="A38" s="105" t="s">
        <v>47</v>
      </c>
      <c r="B38" s="106"/>
      <c r="C38" s="106"/>
      <c r="D38" s="107"/>
      <c r="E38" s="26">
        <v>12</v>
      </c>
      <c r="F38" s="23">
        <f t="shared" si="3"/>
        <v>0</v>
      </c>
      <c r="G38" s="23">
        <v>105</v>
      </c>
      <c r="H38" s="26"/>
      <c r="I38" s="23">
        <f t="shared" si="2"/>
        <v>0</v>
      </c>
      <c r="J38" s="23"/>
      <c r="K38" s="30"/>
    </row>
    <row r="39" spans="1:55" ht="15" customHeight="1">
      <c r="A39" s="105" t="s">
        <v>48</v>
      </c>
      <c r="B39" s="106"/>
      <c r="C39" s="106"/>
      <c r="D39" s="107"/>
      <c r="E39" s="26">
        <v>12</v>
      </c>
      <c r="F39" s="23">
        <f t="shared" si="3"/>
        <v>0</v>
      </c>
      <c r="G39" s="23">
        <v>45</v>
      </c>
      <c r="H39" s="26"/>
      <c r="I39" s="23">
        <f t="shared" si="2"/>
        <v>0</v>
      </c>
      <c r="J39" s="23"/>
      <c r="K39" s="30"/>
    </row>
    <row r="40" spans="1:55" ht="15" customHeight="1">
      <c r="A40" s="105" t="s">
        <v>49</v>
      </c>
      <c r="B40" s="106"/>
      <c r="C40" s="106"/>
      <c r="D40" s="107"/>
      <c r="E40" s="26">
        <v>12</v>
      </c>
      <c r="F40" s="23">
        <f t="shared" si="3"/>
        <v>0</v>
      </c>
      <c r="G40" s="23">
        <v>45</v>
      </c>
      <c r="H40" s="26"/>
      <c r="I40" s="23">
        <f t="shared" si="2"/>
        <v>0</v>
      </c>
      <c r="J40" s="23"/>
      <c r="K40" s="30"/>
    </row>
    <row r="41" spans="1:55" ht="15" customHeight="1">
      <c r="A41" s="105" t="s">
        <v>50</v>
      </c>
      <c r="B41" s="106"/>
      <c r="C41" s="106"/>
      <c r="D41" s="107"/>
      <c r="E41" s="26">
        <v>24</v>
      </c>
      <c r="F41" s="23">
        <f t="shared" ref="F41:F42" si="6">E41*H41/$D$10</f>
        <v>0</v>
      </c>
      <c r="G41" s="23">
        <v>80</v>
      </c>
      <c r="H41" s="26"/>
      <c r="I41" s="23">
        <f t="shared" ref="I41:I42" si="7">H41*G41</f>
        <v>0</v>
      </c>
      <c r="J41" s="23"/>
      <c r="K41" s="30"/>
    </row>
    <row r="42" spans="1:55" ht="22.5" customHeight="1">
      <c r="A42" s="105" t="s">
        <v>51</v>
      </c>
      <c r="B42" s="106"/>
      <c r="C42" s="106"/>
      <c r="D42" s="107"/>
      <c r="E42" s="26">
        <v>23</v>
      </c>
      <c r="F42" s="23">
        <f t="shared" si="6"/>
        <v>0</v>
      </c>
      <c r="G42" s="23">
        <v>105</v>
      </c>
      <c r="H42" s="26"/>
      <c r="I42" s="23">
        <f t="shared" si="7"/>
        <v>0</v>
      </c>
      <c r="J42" s="23"/>
      <c r="K42" s="30"/>
    </row>
    <row r="43" spans="1:55" ht="15" customHeight="1">
      <c r="A43" s="159" t="s">
        <v>53</v>
      </c>
      <c r="B43" s="160"/>
      <c r="C43" s="160"/>
      <c r="D43" s="160"/>
      <c r="E43" s="26">
        <v>15</v>
      </c>
      <c r="F43" s="23">
        <f t="shared" si="3"/>
        <v>0</v>
      </c>
      <c r="G43" s="23">
        <v>50</v>
      </c>
      <c r="H43" s="26"/>
      <c r="I43" s="23">
        <f t="shared" si="2"/>
        <v>0</v>
      </c>
      <c r="J43" s="23"/>
      <c r="K43" s="30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5"/>
      <c r="AZ43" s="35"/>
      <c r="BA43" s="35"/>
      <c r="BB43" s="35"/>
      <c r="BC43" s="35"/>
    </row>
    <row r="44" spans="1:55" ht="15" customHeight="1">
      <c r="A44" s="159" t="s">
        <v>54</v>
      </c>
      <c r="B44" s="160"/>
      <c r="C44" s="160"/>
      <c r="D44" s="160"/>
      <c r="E44" s="26">
        <v>15</v>
      </c>
      <c r="F44" s="23">
        <f t="shared" si="3"/>
        <v>0</v>
      </c>
      <c r="G44" s="23">
        <v>45</v>
      </c>
      <c r="H44" s="26"/>
      <c r="I44" s="23">
        <f t="shared" si="2"/>
        <v>0</v>
      </c>
      <c r="J44" s="83" t="s">
        <v>52</v>
      </c>
      <c r="K44" s="30"/>
    </row>
    <row r="45" spans="1:55" ht="15" customHeight="1">
      <c r="A45" s="108" t="s">
        <v>55</v>
      </c>
      <c r="B45" s="109"/>
      <c r="C45" s="109"/>
      <c r="D45" s="109"/>
      <c r="E45" s="109"/>
      <c r="F45" s="109"/>
      <c r="G45" s="109"/>
      <c r="H45" s="109"/>
      <c r="I45" s="109"/>
      <c r="J45" s="109"/>
      <c r="K45" s="30"/>
    </row>
    <row r="46" spans="1:55" ht="24.9" customHeight="1">
      <c r="A46" s="103" t="s">
        <v>18</v>
      </c>
      <c r="B46" s="104"/>
      <c r="C46" s="104"/>
      <c r="D46" s="104"/>
      <c r="E46" s="12" t="s">
        <v>19</v>
      </c>
      <c r="F46" s="12" t="s">
        <v>20</v>
      </c>
      <c r="G46" s="12" t="s">
        <v>21</v>
      </c>
      <c r="H46" s="12" t="s">
        <v>22</v>
      </c>
      <c r="I46" s="12" t="s">
        <v>23</v>
      </c>
      <c r="J46" s="12"/>
      <c r="K46" s="30"/>
    </row>
    <row r="47" spans="1:55" ht="39.9" customHeight="1">
      <c r="A47" s="105" t="s">
        <v>56</v>
      </c>
      <c r="B47" s="106"/>
      <c r="C47" s="106"/>
      <c r="D47" s="107"/>
      <c r="E47" s="26">
        <v>19</v>
      </c>
      <c r="F47" s="23">
        <f t="shared" ref="F47:F63" si="8">E47*H47/$D$10</f>
        <v>0</v>
      </c>
      <c r="G47" s="26">
        <v>70</v>
      </c>
      <c r="H47" s="26"/>
      <c r="I47" s="26">
        <f t="shared" ref="I47:I63" si="9">H47*G47</f>
        <v>0</v>
      </c>
      <c r="J47" s="34"/>
      <c r="K47" s="30"/>
    </row>
    <row r="48" spans="1:55" ht="15" customHeight="1">
      <c r="A48" s="105" t="s">
        <v>57</v>
      </c>
      <c r="B48" s="106"/>
      <c r="C48" s="106"/>
      <c r="D48" s="107"/>
      <c r="E48" s="26">
        <v>22</v>
      </c>
      <c r="F48" s="23">
        <f t="shared" si="8"/>
        <v>0</v>
      </c>
      <c r="G48" s="26">
        <v>40</v>
      </c>
      <c r="H48" s="26"/>
      <c r="I48" s="26">
        <f t="shared" si="9"/>
        <v>0</v>
      </c>
      <c r="J48" s="34"/>
      <c r="K48" s="30"/>
    </row>
    <row r="49" spans="1:243" ht="15" customHeight="1">
      <c r="A49" s="89" t="s">
        <v>58</v>
      </c>
      <c r="B49" s="90"/>
      <c r="C49" s="90"/>
      <c r="D49" s="91"/>
      <c r="E49" s="24">
        <v>22</v>
      </c>
      <c r="F49" s="23">
        <f t="shared" si="8"/>
        <v>0</v>
      </c>
      <c r="G49" s="26">
        <v>35</v>
      </c>
      <c r="H49" s="26"/>
      <c r="I49" s="26">
        <f t="shared" si="9"/>
        <v>0</v>
      </c>
      <c r="J49" s="34"/>
      <c r="K49" s="30"/>
    </row>
    <row r="50" spans="1:243" ht="15" customHeight="1">
      <c r="A50" s="89" t="s">
        <v>59</v>
      </c>
      <c r="B50" s="90"/>
      <c r="C50" s="90"/>
      <c r="D50" s="91"/>
      <c r="E50" s="24">
        <v>17</v>
      </c>
      <c r="F50" s="23">
        <f t="shared" si="8"/>
        <v>0</v>
      </c>
      <c r="G50" s="14">
        <v>35</v>
      </c>
      <c r="H50" s="22"/>
      <c r="I50" s="26">
        <f t="shared" si="9"/>
        <v>0</v>
      </c>
      <c r="J50" s="33"/>
      <c r="K50" s="30"/>
    </row>
    <row r="51" spans="1:243" ht="15" customHeight="1">
      <c r="A51" s="89" t="s">
        <v>60</v>
      </c>
      <c r="B51" s="90"/>
      <c r="C51" s="90"/>
      <c r="D51" s="91"/>
      <c r="E51" s="24">
        <v>18</v>
      </c>
      <c r="F51" s="23">
        <f t="shared" si="8"/>
        <v>0</v>
      </c>
      <c r="G51" s="14">
        <v>35</v>
      </c>
      <c r="H51" s="24"/>
      <c r="I51" s="26">
        <f t="shared" si="9"/>
        <v>0</v>
      </c>
      <c r="J51" s="33"/>
      <c r="K51" s="30"/>
    </row>
    <row r="52" spans="1:243" ht="15" customHeight="1">
      <c r="A52" s="89" t="s">
        <v>61</v>
      </c>
      <c r="B52" s="90"/>
      <c r="C52" s="90"/>
      <c r="D52" s="91"/>
      <c r="E52" s="24">
        <v>17</v>
      </c>
      <c r="F52" s="23">
        <f t="shared" si="8"/>
        <v>0</v>
      </c>
      <c r="G52" s="14">
        <v>35</v>
      </c>
      <c r="H52" s="24"/>
      <c r="I52" s="26">
        <f t="shared" si="9"/>
        <v>0</v>
      </c>
      <c r="J52" s="33"/>
      <c r="K52" s="30"/>
    </row>
    <row r="53" spans="1:243" ht="15" customHeight="1">
      <c r="A53" s="89" t="s">
        <v>62</v>
      </c>
      <c r="B53" s="90"/>
      <c r="C53" s="90"/>
      <c r="D53" s="91"/>
      <c r="E53" s="24">
        <v>10</v>
      </c>
      <c r="F53" s="23">
        <f t="shared" si="8"/>
        <v>0</v>
      </c>
      <c r="G53" s="14">
        <v>30</v>
      </c>
      <c r="H53" s="24"/>
      <c r="I53" s="26">
        <f t="shared" si="9"/>
        <v>0</v>
      </c>
      <c r="J53" s="33"/>
      <c r="K53" s="30"/>
    </row>
    <row r="54" spans="1:243" ht="24.9" customHeight="1">
      <c r="A54" s="89" t="s">
        <v>63</v>
      </c>
      <c r="B54" s="90"/>
      <c r="C54" s="90"/>
      <c r="D54" s="91"/>
      <c r="E54" s="24">
        <v>19</v>
      </c>
      <c r="F54" s="23">
        <f t="shared" si="8"/>
        <v>0</v>
      </c>
      <c r="G54" s="14">
        <v>55</v>
      </c>
      <c r="H54" s="24"/>
      <c r="I54" s="26">
        <f t="shared" si="9"/>
        <v>0</v>
      </c>
      <c r="J54" s="33"/>
      <c r="K54" s="30"/>
    </row>
    <row r="55" spans="1:243" ht="15" customHeight="1">
      <c r="A55" s="89" t="s">
        <v>64</v>
      </c>
      <c r="B55" s="90"/>
      <c r="C55" s="90"/>
      <c r="D55" s="91"/>
      <c r="E55" s="24">
        <v>19</v>
      </c>
      <c r="F55" s="23">
        <f t="shared" si="8"/>
        <v>0</v>
      </c>
      <c r="G55" s="14">
        <v>55</v>
      </c>
      <c r="H55" s="24"/>
      <c r="I55" s="26">
        <f t="shared" si="9"/>
        <v>0</v>
      </c>
      <c r="J55" s="33"/>
      <c r="K55" s="30"/>
    </row>
    <row r="56" spans="1:243" ht="30" customHeight="1">
      <c r="A56" s="89" t="s">
        <v>65</v>
      </c>
      <c r="B56" s="90"/>
      <c r="C56" s="90"/>
      <c r="D56" s="91"/>
      <c r="E56" s="24">
        <v>35</v>
      </c>
      <c r="F56" s="23">
        <f t="shared" si="8"/>
        <v>0</v>
      </c>
      <c r="G56" s="14">
        <v>90</v>
      </c>
      <c r="H56" s="22"/>
      <c r="I56" s="26">
        <f t="shared" si="9"/>
        <v>0</v>
      </c>
      <c r="J56" s="33"/>
      <c r="K56" s="30"/>
    </row>
    <row r="57" spans="1:243" ht="15" customHeight="1">
      <c r="A57" s="132" t="s">
        <v>66</v>
      </c>
      <c r="B57" s="133"/>
      <c r="C57" s="133"/>
      <c r="D57" s="134"/>
      <c r="E57" s="24">
        <v>15</v>
      </c>
      <c r="F57" s="23">
        <f t="shared" si="8"/>
        <v>0</v>
      </c>
      <c r="G57" s="14">
        <v>80</v>
      </c>
      <c r="H57" s="24"/>
      <c r="I57" s="26">
        <f t="shared" si="9"/>
        <v>0</v>
      </c>
      <c r="J57" s="33"/>
      <c r="K57" s="30"/>
    </row>
    <row r="58" spans="1:243" ht="15" customHeight="1">
      <c r="A58" s="132" t="s">
        <v>67</v>
      </c>
      <c r="B58" s="133"/>
      <c r="C58" s="133"/>
      <c r="D58" s="134"/>
      <c r="E58" s="24">
        <v>15</v>
      </c>
      <c r="F58" s="23">
        <f t="shared" ref="F58:F59" si="10">E58*H58/$D$10</f>
        <v>0</v>
      </c>
      <c r="G58" s="14">
        <v>110</v>
      </c>
      <c r="H58" s="24"/>
      <c r="I58" s="26">
        <f t="shared" ref="I58:I59" si="11">H58*G58</f>
        <v>0</v>
      </c>
      <c r="J58" s="33"/>
      <c r="K58" s="30"/>
    </row>
    <row r="59" spans="1:243" ht="15" customHeight="1">
      <c r="A59" s="132" t="s">
        <v>68</v>
      </c>
      <c r="B59" s="133"/>
      <c r="C59" s="133"/>
      <c r="D59" s="134"/>
      <c r="E59" s="24">
        <v>15</v>
      </c>
      <c r="F59" s="23">
        <f t="shared" si="10"/>
        <v>0</v>
      </c>
      <c r="G59" s="14">
        <v>110</v>
      </c>
      <c r="H59" s="24"/>
      <c r="I59" s="26">
        <f t="shared" si="11"/>
        <v>0</v>
      </c>
      <c r="J59" s="33"/>
      <c r="K59" s="30"/>
    </row>
    <row r="60" spans="1:243" s="3" customFormat="1" ht="69.900000000000006" customHeight="1">
      <c r="A60" s="179" t="s">
        <v>69</v>
      </c>
      <c r="B60" s="180"/>
      <c r="C60" s="180"/>
      <c r="D60" s="180"/>
      <c r="E60" s="25">
        <v>15</v>
      </c>
      <c r="F60" s="23">
        <f t="shared" si="8"/>
        <v>0</v>
      </c>
      <c r="G60" s="23">
        <v>110</v>
      </c>
      <c r="H60" s="25"/>
      <c r="I60" s="26">
        <f t="shared" si="9"/>
        <v>0</v>
      </c>
      <c r="J60" s="23"/>
      <c r="K60" s="30"/>
      <c r="L60" s="35"/>
      <c r="M60" s="44"/>
      <c r="N60" s="44"/>
      <c r="O60" s="44"/>
      <c r="P60" s="44"/>
      <c r="Q60" s="35"/>
      <c r="R60" s="35"/>
      <c r="S60" s="35"/>
      <c r="T60" s="35"/>
      <c r="U60" s="35"/>
      <c r="V60" s="44"/>
      <c r="W60" s="44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35"/>
      <c r="AL60" s="35"/>
      <c r="AM60" s="35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35"/>
      <c r="BG60" s="35"/>
      <c r="BH60" s="35"/>
      <c r="BI60" s="35"/>
      <c r="BJ60" s="35"/>
      <c r="BK60" s="35"/>
      <c r="BL60" s="35"/>
      <c r="BM60" s="35"/>
      <c r="BN60" s="35"/>
      <c r="BO60" s="35"/>
      <c r="BP60" s="35"/>
      <c r="BQ60" s="35"/>
      <c r="BR60" s="35"/>
      <c r="BS60" s="35"/>
      <c r="BT60" s="35"/>
      <c r="BU60" s="35"/>
      <c r="BV60" s="35"/>
      <c r="BW60" s="35"/>
      <c r="BX60" s="35"/>
      <c r="BY60" s="35"/>
      <c r="BZ60" s="35"/>
      <c r="CA60" s="35"/>
      <c r="CB60" s="35"/>
      <c r="CC60" s="35"/>
      <c r="CD60" s="35"/>
      <c r="CE60" s="35"/>
      <c r="CF60" s="35"/>
      <c r="CG60" s="35"/>
      <c r="CH60" s="35"/>
      <c r="CI60" s="35"/>
      <c r="CJ60" s="35"/>
      <c r="CK60" s="35"/>
      <c r="CL60" s="35"/>
      <c r="CM60" s="35"/>
      <c r="CN60" s="35"/>
      <c r="CO60" s="35"/>
      <c r="CP60" s="35"/>
      <c r="CQ60" s="35"/>
      <c r="CR60" s="35"/>
      <c r="CS60" s="35"/>
      <c r="CT60" s="35"/>
      <c r="CU60" s="35"/>
      <c r="CV60" s="35"/>
      <c r="CW60" s="35"/>
      <c r="CX60" s="35"/>
      <c r="CY60" s="35"/>
      <c r="CZ60" s="35"/>
      <c r="DA60" s="35"/>
      <c r="DB60" s="35"/>
      <c r="DC60" s="35"/>
      <c r="DD60" s="35"/>
      <c r="DE60" s="35"/>
      <c r="DF60" s="35"/>
      <c r="DG60" s="35"/>
      <c r="DH60" s="35"/>
      <c r="DI60" s="35"/>
      <c r="DJ60" s="35"/>
      <c r="DK60" s="35"/>
      <c r="DL60" s="35"/>
      <c r="DM60" s="35"/>
      <c r="DN60" s="35"/>
      <c r="DO60" s="35"/>
      <c r="DP60" s="35"/>
      <c r="DQ60" s="35"/>
      <c r="DR60" s="35"/>
      <c r="DS60" s="35"/>
      <c r="DT60" s="35"/>
      <c r="DU60" s="35"/>
      <c r="DV60" s="35"/>
      <c r="DW60" s="35"/>
      <c r="DX60" s="35"/>
      <c r="DY60" s="35"/>
      <c r="DZ60" s="35"/>
      <c r="EA60" s="35"/>
      <c r="EB60" s="35"/>
      <c r="EC60" s="35"/>
      <c r="ED60" s="35"/>
      <c r="EE60" s="35"/>
      <c r="EF60" s="35"/>
      <c r="EG60" s="35"/>
      <c r="EH60" s="35"/>
      <c r="EI60" s="35"/>
      <c r="EJ60" s="35"/>
      <c r="EK60" s="35"/>
      <c r="EL60" s="35"/>
      <c r="EM60" s="35"/>
      <c r="EN60" s="35"/>
      <c r="EO60" s="35"/>
      <c r="EP60" s="35"/>
      <c r="EQ60" s="35"/>
      <c r="ER60" s="35"/>
      <c r="ES60" s="35"/>
      <c r="ET60" s="35"/>
      <c r="EU60" s="35"/>
      <c r="EV60" s="35"/>
      <c r="EW60" s="35"/>
      <c r="EX60" s="35"/>
      <c r="EY60" s="35"/>
      <c r="EZ60" s="35"/>
      <c r="FA60" s="35"/>
      <c r="FB60" s="35"/>
      <c r="FC60" s="35"/>
      <c r="FD60" s="35"/>
      <c r="FE60" s="35"/>
      <c r="FF60" s="35"/>
      <c r="FG60" s="35"/>
      <c r="FH60" s="35"/>
      <c r="FI60" s="35"/>
      <c r="FJ60" s="35"/>
      <c r="FK60" s="35"/>
      <c r="FL60" s="35"/>
      <c r="FM60" s="35"/>
      <c r="FN60" s="35"/>
      <c r="FO60" s="35"/>
      <c r="FP60" s="35"/>
      <c r="FQ60" s="35"/>
      <c r="FR60" s="35"/>
      <c r="FS60" s="35"/>
      <c r="FT60" s="35"/>
      <c r="FU60" s="35"/>
      <c r="FV60" s="35"/>
      <c r="FW60" s="35"/>
      <c r="FX60" s="35"/>
      <c r="FY60" s="35"/>
      <c r="FZ60" s="35"/>
      <c r="GA60" s="35"/>
      <c r="GB60" s="35"/>
      <c r="GC60" s="35"/>
      <c r="GD60" s="35"/>
      <c r="GE60" s="35"/>
      <c r="GF60" s="35"/>
      <c r="GG60" s="35"/>
      <c r="GH60" s="35"/>
      <c r="GI60" s="35"/>
      <c r="GJ60" s="35"/>
      <c r="GK60" s="35"/>
      <c r="GL60" s="35"/>
      <c r="GM60" s="35"/>
      <c r="GN60" s="35"/>
      <c r="GO60" s="35"/>
      <c r="GP60" s="35"/>
      <c r="GQ60" s="35"/>
      <c r="GR60" s="35"/>
      <c r="GS60" s="35"/>
      <c r="GT60" s="35"/>
      <c r="GU60" s="35"/>
      <c r="GV60" s="35"/>
      <c r="GW60" s="35"/>
      <c r="GX60" s="35"/>
      <c r="GY60" s="35"/>
      <c r="GZ60" s="35"/>
      <c r="HA60" s="35"/>
      <c r="HB60" s="35"/>
      <c r="HC60" s="35"/>
      <c r="HD60" s="35"/>
      <c r="HE60" s="35"/>
      <c r="HF60" s="35"/>
      <c r="HG60" s="35"/>
      <c r="HH60" s="35"/>
      <c r="HI60" s="35"/>
      <c r="HJ60" s="35"/>
      <c r="HK60" s="35"/>
      <c r="HL60" s="35"/>
      <c r="HM60" s="35"/>
      <c r="HN60" s="35"/>
      <c r="HO60" s="35"/>
      <c r="HP60" s="35"/>
      <c r="HQ60" s="35"/>
      <c r="HR60" s="35"/>
      <c r="HS60" s="35"/>
      <c r="HT60" s="35"/>
      <c r="HU60" s="35"/>
      <c r="HV60" s="35"/>
      <c r="HW60" s="35"/>
      <c r="HX60" s="35"/>
      <c r="HY60" s="35"/>
      <c r="HZ60" s="35"/>
      <c r="IA60" s="35"/>
      <c r="IB60" s="35"/>
      <c r="IC60" s="35"/>
      <c r="ID60" s="35"/>
      <c r="IE60" s="35"/>
      <c r="IF60" s="35"/>
      <c r="IG60" s="35"/>
      <c r="IH60" s="35"/>
      <c r="II60" s="35"/>
    </row>
    <row r="61" spans="1:243" s="3" customFormat="1" ht="39.9" customHeight="1">
      <c r="A61" s="116" t="s">
        <v>70</v>
      </c>
      <c r="B61" s="117"/>
      <c r="C61" s="117"/>
      <c r="D61" s="117"/>
      <c r="E61" s="24">
        <v>12</v>
      </c>
      <c r="F61" s="23">
        <f t="shared" si="8"/>
        <v>0</v>
      </c>
      <c r="G61" s="33">
        <v>110</v>
      </c>
      <c r="H61" s="24"/>
      <c r="I61" s="22">
        <f t="shared" si="9"/>
        <v>0</v>
      </c>
      <c r="J61" s="33"/>
      <c r="K61" s="30"/>
      <c r="L61" s="35"/>
      <c r="M61" s="35"/>
      <c r="N61" s="35"/>
      <c r="O61" s="35"/>
      <c r="P61" s="35"/>
      <c r="Q61" s="44"/>
      <c r="R61" s="44"/>
      <c r="S61" s="44"/>
      <c r="T61" s="44"/>
      <c r="U61" s="44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35"/>
      <c r="BG61" s="35"/>
      <c r="BH61" s="35"/>
      <c r="BI61" s="35"/>
      <c r="BJ61" s="35"/>
      <c r="BK61" s="35"/>
      <c r="BL61" s="35"/>
      <c r="BM61" s="35"/>
      <c r="BN61" s="35"/>
      <c r="BO61" s="35"/>
      <c r="BP61" s="35"/>
      <c r="BQ61" s="35"/>
      <c r="BR61" s="35"/>
      <c r="BS61" s="35"/>
      <c r="BT61" s="35"/>
      <c r="BU61" s="35"/>
      <c r="BV61" s="35"/>
      <c r="BW61" s="35"/>
      <c r="BX61" s="35"/>
      <c r="BY61" s="35"/>
      <c r="BZ61" s="35"/>
      <c r="CA61" s="35"/>
      <c r="CB61" s="35"/>
      <c r="CC61" s="35"/>
      <c r="CD61" s="35"/>
      <c r="CE61" s="35"/>
      <c r="CF61" s="35"/>
      <c r="CG61" s="35"/>
      <c r="CH61" s="35"/>
      <c r="CI61" s="35"/>
      <c r="CJ61" s="35"/>
      <c r="CK61" s="35"/>
      <c r="CL61" s="35"/>
      <c r="CM61" s="35"/>
      <c r="CN61" s="35"/>
      <c r="CO61" s="35"/>
      <c r="CP61" s="35"/>
      <c r="CQ61" s="35"/>
      <c r="CR61" s="35"/>
      <c r="CS61" s="35"/>
      <c r="CT61" s="35"/>
      <c r="CU61" s="35"/>
      <c r="CV61" s="35"/>
      <c r="CW61" s="35"/>
      <c r="CX61" s="35"/>
      <c r="CY61" s="35"/>
      <c r="CZ61" s="35"/>
      <c r="DA61" s="35"/>
      <c r="DB61" s="35"/>
      <c r="DC61" s="35"/>
      <c r="DD61" s="35"/>
      <c r="DE61" s="35"/>
      <c r="DF61" s="35"/>
      <c r="DG61" s="35"/>
      <c r="DH61" s="35"/>
      <c r="DI61" s="35"/>
      <c r="DJ61" s="35"/>
      <c r="DK61" s="35"/>
      <c r="DL61" s="35"/>
      <c r="DM61" s="35"/>
      <c r="DN61" s="35"/>
      <c r="DO61" s="35"/>
      <c r="DP61" s="35"/>
      <c r="DQ61" s="35"/>
      <c r="DR61" s="35"/>
      <c r="DS61" s="35"/>
      <c r="DT61" s="35"/>
      <c r="DU61" s="35"/>
      <c r="DV61" s="35"/>
      <c r="DW61" s="35"/>
      <c r="DX61" s="35"/>
      <c r="DY61" s="35"/>
      <c r="DZ61" s="35"/>
      <c r="EA61" s="35"/>
      <c r="EB61" s="35"/>
      <c r="EC61" s="35"/>
      <c r="ED61" s="35"/>
      <c r="EE61" s="35"/>
      <c r="EF61" s="35"/>
      <c r="EG61" s="35"/>
      <c r="EH61" s="35"/>
      <c r="EI61" s="35"/>
      <c r="EJ61" s="35"/>
      <c r="EK61" s="35"/>
      <c r="EL61" s="35"/>
      <c r="EM61" s="35"/>
      <c r="EN61" s="35"/>
      <c r="EO61" s="35"/>
      <c r="EP61" s="35"/>
      <c r="EQ61" s="35"/>
      <c r="ER61" s="35"/>
      <c r="ES61" s="35"/>
      <c r="ET61" s="35"/>
      <c r="EU61" s="35"/>
      <c r="EV61" s="35"/>
      <c r="EW61" s="35"/>
      <c r="EX61" s="35"/>
      <c r="EY61" s="35"/>
      <c r="EZ61" s="35"/>
      <c r="FA61" s="35"/>
      <c r="FB61" s="35"/>
      <c r="FC61" s="35"/>
      <c r="FD61" s="35"/>
      <c r="FE61" s="35"/>
      <c r="FF61" s="35"/>
      <c r="FG61" s="35"/>
      <c r="FH61" s="35"/>
      <c r="FI61" s="35"/>
      <c r="FJ61" s="35"/>
      <c r="FK61" s="35"/>
      <c r="FL61" s="35"/>
      <c r="FM61" s="35"/>
      <c r="FN61" s="35"/>
      <c r="FO61" s="35"/>
      <c r="FP61" s="35"/>
      <c r="FQ61" s="35"/>
      <c r="FR61" s="35"/>
      <c r="FS61" s="35"/>
      <c r="FT61" s="35"/>
      <c r="FU61" s="35"/>
      <c r="FV61" s="35"/>
      <c r="FW61" s="35"/>
      <c r="FX61" s="35"/>
      <c r="FY61" s="35"/>
      <c r="FZ61" s="35"/>
      <c r="GA61" s="35"/>
      <c r="GB61" s="35"/>
      <c r="GC61" s="35"/>
      <c r="GD61" s="35"/>
      <c r="GE61" s="35"/>
      <c r="GF61" s="35"/>
      <c r="GG61" s="35"/>
      <c r="GH61" s="35"/>
      <c r="GI61" s="35"/>
      <c r="GJ61" s="35"/>
      <c r="GK61" s="35"/>
      <c r="GL61" s="35"/>
      <c r="GM61" s="35"/>
      <c r="GN61" s="35"/>
      <c r="GO61" s="35"/>
      <c r="GP61" s="35"/>
      <c r="GQ61" s="35"/>
      <c r="GR61" s="35"/>
      <c r="GS61" s="35"/>
      <c r="GT61" s="35"/>
      <c r="GU61" s="35"/>
      <c r="GV61" s="35"/>
      <c r="GW61" s="35"/>
      <c r="GX61" s="35"/>
      <c r="GY61" s="35"/>
      <c r="GZ61" s="35"/>
      <c r="HA61" s="35"/>
      <c r="HB61" s="35"/>
      <c r="HC61" s="35"/>
      <c r="HD61" s="35"/>
      <c r="HE61" s="35"/>
      <c r="HF61" s="35"/>
      <c r="HG61" s="35"/>
      <c r="HH61" s="35"/>
      <c r="HI61" s="35"/>
      <c r="HJ61" s="35"/>
      <c r="HK61" s="35"/>
      <c r="HL61" s="35"/>
      <c r="HM61" s="35"/>
      <c r="HN61" s="35"/>
      <c r="HO61" s="35"/>
      <c r="HP61" s="35"/>
      <c r="HQ61" s="35"/>
      <c r="HR61" s="35"/>
      <c r="HS61" s="35"/>
      <c r="HT61" s="35"/>
      <c r="HU61" s="35"/>
      <c r="HV61" s="35"/>
      <c r="HW61" s="35"/>
      <c r="HX61" s="35"/>
      <c r="HY61" s="35"/>
      <c r="HZ61" s="35"/>
      <c r="IA61" s="35"/>
      <c r="IB61" s="35"/>
      <c r="IC61" s="35"/>
      <c r="ID61" s="35"/>
      <c r="IE61" s="35"/>
      <c r="IF61" s="35"/>
      <c r="IG61" s="35"/>
      <c r="IH61" s="35"/>
      <c r="II61" s="35"/>
    </row>
    <row r="62" spans="1:243" ht="15" customHeight="1">
      <c r="A62" s="89" t="s">
        <v>71</v>
      </c>
      <c r="B62" s="90"/>
      <c r="C62" s="90"/>
      <c r="D62" s="91"/>
      <c r="E62" s="24">
        <v>15</v>
      </c>
      <c r="F62" s="23">
        <f t="shared" si="8"/>
        <v>0</v>
      </c>
      <c r="G62" s="14">
        <v>90</v>
      </c>
      <c r="H62" s="22"/>
      <c r="I62" s="26">
        <f t="shared" si="9"/>
        <v>0</v>
      </c>
      <c r="J62" s="33"/>
      <c r="K62" s="30"/>
    </row>
    <row r="63" spans="1:243" ht="15" customHeight="1">
      <c r="A63" s="39" t="s">
        <v>72</v>
      </c>
      <c r="B63" s="40"/>
      <c r="C63" s="40"/>
      <c r="D63" s="41"/>
      <c r="E63" s="42">
        <v>5</v>
      </c>
      <c r="F63" s="23">
        <f t="shared" si="8"/>
        <v>0</v>
      </c>
      <c r="G63" s="14">
        <v>10</v>
      </c>
      <c r="H63" s="22"/>
      <c r="I63" s="26">
        <f t="shared" si="9"/>
        <v>0</v>
      </c>
      <c r="J63" s="33"/>
      <c r="K63" s="30"/>
    </row>
    <row r="64" spans="1:243" ht="15" customHeight="1">
      <c r="A64" s="128" t="s">
        <v>73</v>
      </c>
      <c r="B64" s="129"/>
      <c r="C64" s="129"/>
      <c r="D64" s="129"/>
      <c r="E64" s="129"/>
      <c r="F64" s="129"/>
      <c r="G64" s="129"/>
      <c r="H64" s="129"/>
      <c r="I64" s="129"/>
      <c r="J64" s="130"/>
      <c r="K64" s="30"/>
    </row>
    <row r="65" spans="1:251" ht="24.9" customHeight="1">
      <c r="A65" s="144" t="s">
        <v>18</v>
      </c>
      <c r="B65" s="145"/>
      <c r="C65" s="145"/>
      <c r="D65" s="146"/>
      <c r="E65" s="12" t="s">
        <v>19</v>
      </c>
      <c r="F65" s="12" t="s">
        <v>20</v>
      </c>
      <c r="G65" s="12" t="s">
        <v>21</v>
      </c>
      <c r="H65" s="12" t="s">
        <v>22</v>
      </c>
      <c r="I65" s="12" t="s">
        <v>23</v>
      </c>
      <c r="J65" s="12"/>
      <c r="K65" s="30"/>
    </row>
    <row r="66" spans="1:251" ht="15" customHeight="1">
      <c r="A66" s="159" t="s">
        <v>74</v>
      </c>
      <c r="B66" s="160"/>
      <c r="C66" s="160"/>
      <c r="D66" s="160"/>
      <c r="E66" s="26">
        <v>20</v>
      </c>
      <c r="F66" s="23">
        <f t="shared" ref="F66:F69" si="12">E66*H66/$D$10</f>
        <v>0</v>
      </c>
      <c r="G66" s="14">
        <v>230</v>
      </c>
      <c r="H66" s="26"/>
      <c r="I66" s="14">
        <f t="shared" ref="I66:I69" si="13">H66*G66</f>
        <v>0</v>
      </c>
      <c r="J66" s="33"/>
      <c r="K66" s="30"/>
    </row>
    <row r="67" spans="1:251" ht="15" customHeight="1">
      <c r="A67" s="159" t="s">
        <v>75</v>
      </c>
      <c r="B67" s="160"/>
      <c r="C67" s="160"/>
      <c r="D67" s="160"/>
      <c r="E67" s="26">
        <v>35</v>
      </c>
      <c r="F67" s="23">
        <f t="shared" si="12"/>
        <v>0</v>
      </c>
      <c r="G67" s="14">
        <v>170</v>
      </c>
      <c r="H67" s="26"/>
      <c r="I67" s="14">
        <f t="shared" si="13"/>
        <v>0</v>
      </c>
      <c r="J67" s="33"/>
      <c r="K67" s="30"/>
    </row>
    <row r="68" spans="1:251" ht="24.9" customHeight="1">
      <c r="A68" s="159" t="s">
        <v>76</v>
      </c>
      <c r="B68" s="160"/>
      <c r="C68" s="160"/>
      <c r="D68" s="160"/>
      <c r="E68" s="26">
        <v>35</v>
      </c>
      <c r="F68" s="23">
        <f t="shared" si="12"/>
        <v>0</v>
      </c>
      <c r="G68" s="14">
        <v>150</v>
      </c>
      <c r="H68" s="26"/>
      <c r="I68" s="14">
        <f t="shared" si="13"/>
        <v>0</v>
      </c>
      <c r="J68" s="33"/>
      <c r="K68" s="30"/>
    </row>
    <row r="69" spans="1:251" ht="24.9" customHeight="1">
      <c r="A69" s="105" t="s">
        <v>77</v>
      </c>
      <c r="B69" s="177"/>
      <c r="C69" s="177"/>
      <c r="D69" s="178"/>
      <c r="E69" s="26">
        <v>25</v>
      </c>
      <c r="F69" s="23">
        <f t="shared" si="12"/>
        <v>0</v>
      </c>
      <c r="G69" s="23">
        <v>80</v>
      </c>
      <c r="H69" s="26"/>
      <c r="I69" s="23">
        <f t="shared" si="13"/>
        <v>0</v>
      </c>
      <c r="J69" s="23"/>
      <c r="K69" s="30"/>
    </row>
    <row r="70" spans="1:251" ht="24.9" customHeight="1">
      <c r="A70" s="159" t="s">
        <v>78</v>
      </c>
      <c r="B70" s="160"/>
      <c r="C70" s="160"/>
      <c r="D70" s="160"/>
      <c r="E70" s="26">
        <v>30</v>
      </c>
      <c r="F70" s="23">
        <f t="shared" ref="F70:F96" si="14">E70*H70/$D$10</f>
        <v>0</v>
      </c>
      <c r="G70" s="23">
        <v>130</v>
      </c>
      <c r="H70" s="26"/>
      <c r="I70" s="23">
        <f t="shared" ref="I70:I96" si="15">H70*G70</f>
        <v>0</v>
      </c>
      <c r="J70" s="23"/>
      <c r="K70" s="45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</row>
    <row r="71" spans="1:251" ht="24.9" customHeight="1">
      <c r="A71" s="159" t="s">
        <v>79</v>
      </c>
      <c r="B71" s="160"/>
      <c r="C71" s="160"/>
      <c r="D71" s="160"/>
      <c r="E71" s="26">
        <v>30</v>
      </c>
      <c r="F71" s="23">
        <f t="shared" si="14"/>
        <v>0</v>
      </c>
      <c r="G71" s="23">
        <v>160</v>
      </c>
      <c r="H71" s="26"/>
      <c r="I71" s="23">
        <f t="shared" si="15"/>
        <v>0</v>
      </c>
      <c r="J71" s="23"/>
      <c r="K71" s="45"/>
    </row>
    <row r="72" spans="1:251" s="2" customFormat="1" ht="15" customHeight="1">
      <c r="A72" s="105" t="s">
        <v>80</v>
      </c>
      <c r="B72" s="106"/>
      <c r="C72" s="106"/>
      <c r="D72" s="107"/>
      <c r="E72" s="26">
        <v>35</v>
      </c>
      <c r="F72" s="23">
        <f t="shared" si="14"/>
        <v>0</v>
      </c>
      <c r="G72" s="23">
        <v>150</v>
      </c>
      <c r="H72" s="26"/>
      <c r="I72" s="23">
        <f t="shared" si="15"/>
        <v>0</v>
      </c>
      <c r="J72" s="23"/>
      <c r="K72" s="45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  <c r="DI72" s="6"/>
      <c r="DJ72" s="6"/>
      <c r="DK72" s="6"/>
      <c r="DL72" s="6"/>
      <c r="DM72" s="6"/>
      <c r="DN72" s="6"/>
      <c r="DO72" s="6"/>
      <c r="DP72" s="6"/>
      <c r="DQ72" s="6"/>
      <c r="DR72" s="6"/>
      <c r="DS72" s="6"/>
      <c r="DT72" s="6"/>
      <c r="DU72" s="6"/>
      <c r="DV72" s="6"/>
      <c r="DW72" s="6"/>
      <c r="DX72" s="6"/>
      <c r="DY72" s="6"/>
      <c r="DZ72" s="6"/>
      <c r="EA72" s="6"/>
      <c r="EB72" s="6"/>
      <c r="EC72" s="6"/>
      <c r="ED72" s="6"/>
      <c r="EE72" s="6"/>
      <c r="EF72" s="6"/>
      <c r="EG72" s="6"/>
      <c r="EH72" s="6"/>
      <c r="EI72" s="6"/>
      <c r="EJ72" s="6"/>
      <c r="EK72" s="6"/>
      <c r="EL72" s="6"/>
      <c r="EM72" s="6"/>
      <c r="EN72" s="6"/>
      <c r="EO72" s="6"/>
      <c r="EP72" s="6"/>
      <c r="EQ72" s="6"/>
      <c r="ER72" s="6"/>
      <c r="ES72" s="6"/>
      <c r="ET72" s="6"/>
      <c r="EU72" s="6"/>
      <c r="EV72" s="6"/>
      <c r="EW72" s="6"/>
      <c r="EX72" s="6"/>
      <c r="EY72" s="6"/>
      <c r="EZ72" s="6"/>
      <c r="FA72" s="6"/>
      <c r="FB72" s="6"/>
      <c r="FC72" s="6"/>
      <c r="FD72" s="6"/>
      <c r="FE72" s="6"/>
      <c r="FF72" s="6"/>
      <c r="FG72" s="6"/>
      <c r="FH72" s="6"/>
      <c r="FI72" s="6"/>
      <c r="FJ72" s="6"/>
      <c r="FK72" s="6"/>
      <c r="FL72" s="6"/>
      <c r="FM72" s="6"/>
      <c r="FN72" s="6"/>
      <c r="FO72" s="6"/>
      <c r="FP72" s="6"/>
      <c r="FQ72" s="6"/>
      <c r="FR72" s="6"/>
      <c r="FS72" s="6"/>
      <c r="FT72" s="6"/>
      <c r="FU72" s="6"/>
      <c r="FV72" s="6"/>
      <c r="FW72" s="6"/>
      <c r="FX72" s="6"/>
      <c r="FY72" s="6"/>
      <c r="FZ72" s="6"/>
      <c r="GA72" s="6"/>
      <c r="GB72" s="6"/>
      <c r="GC72" s="6"/>
      <c r="GD72" s="6"/>
      <c r="GE72" s="6"/>
      <c r="GF72" s="6"/>
      <c r="GG72" s="6"/>
      <c r="GH72" s="6"/>
      <c r="GI72" s="6"/>
      <c r="GJ72" s="6"/>
      <c r="GK72" s="6"/>
      <c r="GL72" s="6"/>
      <c r="GM72" s="6"/>
      <c r="GN72" s="6"/>
      <c r="GO72" s="6"/>
      <c r="GP72" s="6"/>
      <c r="GQ72" s="6"/>
      <c r="GR72" s="6"/>
      <c r="GS72" s="6"/>
      <c r="GT72" s="6"/>
      <c r="GU72" s="6"/>
      <c r="GV72" s="6"/>
      <c r="GW72" s="6"/>
      <c r="GX72" s="6"/>
      <c r="GY72" s="6"/>
      <c r="GZ72" s="6"/>
      <c r="HA72" s="6"/>
      <c r="HB72" s="6"/>
      <c r="HC72" s="6"/>
      <c r="HD72" s="6"/>
      <c r="HE72" s="6"/>
      <c r="HF72" s="6"/>
      <c r="HG72" s="6"/>
      <c r="HH72" s="6"/>
      <c r="HI72" s="6"/>
      <c r="HJ72" s="6"/>
      <c r="HK72" s="6"/>
      <c r="HL72" s="6"/>
      <c r="HM72" s="6"/>
      <c r="HN72" s="6"/>
      <c r="HO72" s="6"/>
      <c r="HP72" s="6"/>
      <c r="HQ72" s="6"/>
      <c r="HR72" s="6"/>
      <c r="HS72" s="6"/>
      <c r="HT72" s="6"/>
      <c r="HU72" s="6"/>
      <c r="HV72" s="6"/>
      <c r="HW72" s="6"/>
      <c r="HX72" s="6"/>
      <c r="HY72" s="6"/>
      <c r="HZ72" s="6"/>
      <c r="IA72" s="6"/>
      <c r="IB72" s="6"/>
      <c r="IC72" s="6"/>
      <c r="ID72" s="6"/>
      <c r="IE72" s="6"/>
      <c r="IF72" s="6"/>
      <c r="IG72" s="6"/>
      <c r="IH72" s="6"/>
      <c r="II72" s="6"/>
      <c r="IJ72" s="6"/>
      <c r="IK72" s="6"/>
      <c r="IL72" s="6"/>
      <c r="IM72" s="6"/>
      <c r="IN72" s="6"/>
      <c r="IO72" s="6"/>
      <c r="IP72" s="6"/>
      <c r="IQ72" s="6"/>
    </row>
    <row r="73" spans="1:251" ht="15" customHeight="1">
      <c r="A73" s="105" t="s">
        <v>81</v>
      </c>
      <c r="B73" s="106"/>
      <c r="C73" s="106"/>
      <c r="D73" s="107"/>
      <c r="E73" s="26">
        <v>35</v>
      </c>
      <c r="F73" s="23">
        <f t="shared" si="14"/>
        <v>0</v>
      </c>
      <c r="G73" s="23">
        <v>190</v>
      </c>
      <c r="H73" s="26"/>
      <c r="I73" s="23">
        <f t="shared" si="15"/>
        <v>0</v>
      </c>
      <c r="J73" s="23"/>
      <c r="K73" s="45"/>
    </row>
    <row r="74" spans="1:251" ht="24.9" customHeight="1">
      <c r="A74" s="105" t="s">
        <v>82</v>
      </c>
      <c r="B74" s="106"/>
      <c r="C74" s="106"/>
      <c r="D74" s="107"/>
      <c r="E74" s="26">
        <v>36</v>
      </c>
      <c r="F74" s="23">
        <f t="shared" si="14"/>
        <v>0</v>
      </c>
      <c r="G74" s="23">
        <v>115</v>
      </c>
      <c r="H74" s="26"/>
      <c r="I74" s="23">
        <f t="shared" si="15"/>
        <v>0</v>
      </c>
      <c r="J74" s="23"/>
      <c r="K74" s="30"/>
    </row>
    <row r="75" spans="1:251" ht="24.9" customHeight="1">
      <c r="A75" s="105" t="s">
        <v>83</v>
      </c>
      <c r="B75" s="177"/>
      <c r="C75" s="177"/>
      <c r="D75" s="178"/>
      <c r="E75" s="26">
        <v>28</v>
      </c>
      <c r="F75" s="23">
        <f t="shared" si="14"/>
        <v>0</v>
      </c>
      <c r="G75" s="23">
        <v>95</v>
      </c>
      <c r="H75" s="26"/>
      <c r="I75" s="23">
        <f t="shared" si="15"/>
        <v>0</v>
      </c>
      <c r="J75" s="23"/>
      <c r="K75" s="30"/>
    </row>
    <row r="76" spans="1:251" ht="24.9" customHeight="1">
      <c r="A76" s="105" t="s">
        <v>84</v>
      </c>
      <c r="B76" s="177"/>
      <c r="C76" s="177"/>
      <c r="D76" s="178"/>
      <c r="E76" s="26">
        <v>28</v>
      </c>
      <c r="F76" s="23">
        <f t="shared" si="14"/>
        <v>0</v>
      </c>
      <c r="G76" s="23">
        <v>130</v>
      </c>
      <c r="H76" s="26"/>
      <c r="I76" s="23">
        <f t="shared" si="15"/>
        <v>0</v>
      </c>
      <c r="J76" s="23"/>
      <c r="K76" s="30"/>
    </row>
    <row r="77" spans="1:251" ht="24.9" customHeight="1">
      <c r="A77" s="105" t="s">
        <v>85</v>
      </c>
      <c r="B77" s="177"/>
      <c r="C77" s="177"/>
      <c r="D77" s="178"/>
      <c r="E77" s="26">
        <v>40</v>
      </c>
      <c r="F77" s="23">
        <f t="shared" si="14"/>
        <v>0</v>
      </c>
      <c r="G77" s="23">
        <v>90</v>
      </c>
      <c r="H77" s="26"/>
      <c r="I77" s="23">
        <f t="shared" si="15"/>
        <v>0</v>
      </c>
      <c r="J77" s="23"/>
      <c r="K77" s="30"/>
    </row>
    <row r="78" spans="1:251" ht="15" customHeight="1">
      <c r="A78" s="105" t="s">
        <v>86</v>
      </c>
      <c r="B78" s="106"/>
      <c r="C78" s="106"/>
      <c r="D78" s="107"/>
      <c r="E78" s="26">
        <v>28</v>
      </c>
      <c r="F78" s="23">
        <f t="shared" si="14"/>
        <v>0</v>
      </c>
      <c r="G78" s="23">
        <v>70</v>
      </c>
      <c r="H78" s="26"/>
      <c r="I78" s="23">
        <f t="shared" si="15"/>
        <v>0</v>
      </c>
      <c r="J78" s="23"/>
      <c r="K78" s="30"/>
    </row>
    <row r="79" spans="1:251" ht="40.049999999999997" customHeight="1">
      <c r="A79" s="105" t="s">
        <v>291</v>
      </c>
      <c r="B79" s="106"/>
      <c r="C79" s="106"/>
      <c r="D79" s="107"/>
      <c r="E79" s="26">
        <v>40</v>
      </c>
      <c r="F79" s="82">
        <f t="shared" si="14"/>
        <v>0</v>
      </c>
      <c r="G79" s="23">
        <v>270</v>
      </c>
      <c r="H79" s="26"/>
      <c r="I79" s="23">
        <f t="shared" si="15"/>
        <v>0</v>
      </c>
      <c r="J79" s="23"/>
      <c r="K79" s="30"/>
    </row>
    <row r="80" spans="1:251" ht="25.05" customHeight="1">
      <c r="A80" s="105" t="s">
        <v>284</v>
      </c>
      <c r="B80" s="106"/>
      <c r="C80" s="106"/>
      <c r="D80" s="107"/>
      <c r="E80" s="26">
        <v>25</v>
      </c>
      <c r="F80" s="82">
        <f t="shared" si="14"/>
        <v>0</v>
      </c>
      <c r="G80" s="23">
        <v>80</v>
      </c>
      <c r="H80" s="26"/>
      <c r="I80" s="23">
        <f t="shared" si="15"/>
        <v>0</v>
      </c>
      <c r="J80" s="23"/>
      <c r="K80" s="30"/>
    </row>
    <row r="81" spans="1:11" ht="25.05" customHeight="1">
      <c r="A81" s="105" t="s">
        <v>285</v>
      </c>
      <c r="B81" s="106"/>
      <c r="C81" s="106"/>
      <c r="D81" s="107"/>
      <c r="E81" s="26">
        <v>23</v>
      </c>
      <c r="F81" s="82">
        <f t="shared" si="14"/>
        <v>0</v>
      </c>
      <c r="G81" s="23">
        <v>120</v>
      </c>
      <c r="H81" s="26"/>
      <c r="I81" s="23">
        <f t="shared" si="15"/>
        <v>0</v>
      </c>
      <c r="J81" s="23"/>
      <c r="K81" s="30"/>
    </row>
    <row r="82" spans="1:11" ht="25.05" customHeight="1">
      <c r="A82" s="105" t="s">
        <v>286</v>
      </c>
      <c r="B82" s="106"/>
      <c r="C82" s="106"/>
      <c r="D82" s="107"/>
      <c r="E82" s="26">
        <v>38</v>
      </c>
      <c r="F82" s="82">
        <f t="shared" si="14"/>
        <v>0</v>
      </c>
      <c r="G82" s="23">
        <v>120</v>
      </c>
      <c r="H82" s="26"/>
      <c r="I82" s="23">
        <f t="shared" si="15"/>
        <v>0</v>
      </c>
      <c r="J82" s="23"/>
      <c r="K82" s="30"/>
    </row>
    <row r="83" spans="1:11" ht="25.05" customHeight="1">
      <c r="A83" s="105" t="s">
        <v>287</v>
      </c>
      <c r="B83" s="106"/>
      <c r="C83" s="106"/>
      <c r="D83" s="107"/>
      <c r="E83" s="26">
        <v>16</v>
      </c>
      <c r="F83" s="82">
        <f t="shared" si="14"/>
        <v>0</v>
      </c>
      <c r="G83" s="23">
        <v>80</v>
      </c>
      <c r="H83" s="26"/>
      <c r="I83" s="23">
        <f t="shared" si="15"/>
        <v>0</v>
      </c>
      <c r="J83" s="23"/>
      <c r="K83" s="30"/>
    </row>
    <row r="84" spans="1:11" ht="15" customHeight="1">
      <c r="A84" s="105" t="s">
        <v>288</v>
      </c>
      <c r="B84" s="106"/>
      <c r="C84" s="106"/>
      <c r="D84" s="107"/>
      <c r="E84" s="26">
        <v>60</v>
      </c>
      <c r="F84" s="82">
        <f t="shared" si="14"/>
        <v>0</v>
      </c>
      <c r="G84" s="23">
        <v>90</v>
      </c>
      <c r="H84" s="26"/>
      <c r="I84" s="23">
        <f t="shared" si="15"/>
        <v>0</v>
      </c>
      <c r="J84" s="23"/>
      <c r="K84" s="30"/>
    </row>
    <row r="85" spans="1:11" ht="27" customHeight="1">
      <c r="A85" s="105" t="s">
        <v>292</v>
      </c>
      <c r="B85" s="106"/>
      <c r="C85" s="106"/>
      <c r="D85" s="107"/>
      <c r="E85" s="26">
        <v>30</v>
      </c>
      <c r="F85" s="82">
        <f t="shared" si="14"/>
        <v>0</v>
      </c>
      <c r="G85" s="23">
        <v>110</v>
      </c>
      <c r="H85" s="26"/>
      <c r="I85" s="23">
        <f t="shared" si="15"/>
        <v>0</v>
      </c>
      <c r="J85" s="23"/>
      <c r="K85" s="30"/>
    </row>
    <row r="86" spans="1:11" ht="15" customHeight="1">
      <c r="A86" s="89" t="s">
        <v>87</v>
      </c>
      <c r="B86" s="90"/>
      <c r="C86" s="90"/>
      <c r="D86" s="91"/>
      <c r="E86" s="26">
        <v>90</v>
      </c>
      <c r="F86" s="23">
        <f t="shared" si="14"/>
        <v>0</v>
      </c>
      <c r="G86" s="14">
        <v>280</v>
      </c>
      <c r="H86" s="26"/>
      <c r="I86" s="14">
        <f t="shared" si="15"/>
        <v>0</v>
      </c>
      <c r="J86" s="33"/>
      <c r="K86" s="30"/>
    </row>
    <row r="87" spans="1:11" ht="15" customHeight="1">
      <c r="A87" s="89" t="s">
        <v>88</v>
      </c>
      <c r="B87" s="90"/>
      <c r="C87" s="90"/>
      <c r="D87" s="91"/>
      <c r="E87" s="26">
        <v>90</v>
      </c>
      <c r="F87" s="23">
        <f t="shared" si="14"/>
        <v>0</v>
      </c>
      <c r="G87" s="14">
        <v>130</v>
      </c>
      <c r="H87" s="26"/>
      <c r="I87" s="14">
        <f t="shared" si="15"/>
        <v>0</v>
      </c>
      <c r="J87" s="33"/>
      <c r="K87" s="30"/>
    </row>
    <row r="88" spans="1:11" ht="15" customHeight="1">
      <c r="A88" s="89" t="s">
        <v>89</v>
      </c>
      <c r="B88" s="90"/>
      <c r="C88" s="90"/>
      <c r="D88" s="91"/>
      <c r="E88" s="26">
        <v>90</v>
      </c>
      <c r="F88" s="23">
        <f t="shared" si="14"/>
        <v>0</v>
      </c>
      <c r="G88" s="14">
        <v>110</v>
      </c>
      <c r="H88" s="26"/>
      <c r="I88" s="14">
        <f t="shared" si="15"/>
        <v>0</v>
      </c>
      <c r="J88" s="33"/>
      <c r="K88" s="30"/>
    </row>
    <row r="89" spans="1:11" ht="24.9" customHeight="1">
      <c r="A89" s="89" t="s">
        <v>90</v>
      </c>
      <c r="B89" s="90"/>
      <c r="C89" s="90"/>
      <c r="D89" s="91"/>
      <c r="E89" s="27">
        <v>52</v>
      </c>
      <c r="F89" s="23">
        <f t="shared" si="14"/>
        <v>0</v>
      </c>
      <c r="G89" s="14">
        <v>180</v>
      </c>
      <c r="H89" s="26"/>
      <c r="I89" s="14">
        <f t="shared" si="15"/>
        <v>0</v>
      </c>
      <c r="J89" s="33"/>
      <c r="K89" s="30"/>
    </row>
    <row r="90" spans="1:11" ht="24.9" customHeight="1">
      <c r="A90" s="174" t="s">
        <v>298</v>
      </c>
      <c r="B90" s="175"/>
      <c r="C90" s="175"/>
      <c r="D90" s="176"/>
      <c r="E90" s="87">
        <v>20</v>
      </c>
      <c r="F90" s="88">
        <f t="shared" si="14"/>
        <v>0</v>
      </c>
      <c r="G90" s="88">
        <v>70</v>
      </c>
      <c r="H90" s="87"/>
      <c r="I90" s="88">
        <f t="shared" si="15"/>
        <v>0</v>
      </c>
      <c r="J90" s="88"/>
      <c r="K90" s="30"/>
    </row>
    <row r="91" spans="1:11" ht="24.9" customHeight="1">
      <c r="A91" s="174" t="s">
        <v>299</v>
      </c>
      <c r="B91" s="175"/>
      <c r="C91" s="175"/>
      <c r="D91" s="176"/>
      <c r="E91" s="87">
        <v>60</v>
      </c>
      <c r="F91" s="88">
        <f t="shared" si="14"/>
        <v>0</v>
      </c>
      <c r="G91" s="88">
        <v>80</v>
      </c>
      <c r="H91" s="87"/>
      <c r="I91" s="88">
        <f t="shared" si="15"/>
        <v>0</v>
      </c>
      <c r="J91" s="88"/>
      <c r="K91" s="30"/>
    </row>
    <row r="92" spans="1:11" ht="24.9" customHeight="1">
      <c r="A92" s="174" t="s">
        <v>300</v>
      </c>
      <c r="B92" s="175"/>
      <c r="C92" s="175"/>
      <c r="D92" s="176"/>
      <c r="E92" s="87">
        <v>22</v>
      </c>
      <c r="F92" s="88">
        <f>E92*H92/$D$10</f>
        <v>0</v>
      </c>
      <c r="G92" s="88">
        <v>60</v>
      </c>
      <c r="H92" s="87"/>
      <c r="I92" s="88">
        <f t="shared" si="15"/>
        <v>0</v>
      </c>
      <c r="J92" s="88"/>
      <c r="K92" s="30"/>
    </row>
    <row r="93" spans="1:11" ht="24.9" customHeight="1">
      <c r="A93" s="174" t="s">
        <v>301</v>
      </c>
      <c r="B93" s="175"/>
      <c r="C93" s="175"/>
      <c r="D93" s="176"/>
      <c r="E93" s="87">
        <v>25</v>
      </c>
      <c r="F93" s="88">
        <f>E93*H93/$D$10</f>
        <v>0</v>
      </c>
      <c r="G93" s="88">
        <v>100</v>
      </c>
      <c r="H93" s="87"/>
      <c r="I93" s="88">
        <f t="shared" si="15"/>
        <v>0</v>
      </c>
      <c r="J93" s="88"/>
      <c r="K93" s="30"/>
    </row>
    <row r="94" spans="1:11" ht="24.9" customHeight="1">
      <c r="A94" s="174" t="s">
        <v>302</v>
      </c>
      <c r="B94" s="175"/>
      <c r="C94" s="175"/>
      <c r="D94" s="176"/>
      <c r="E94" s="87">
        <v>27</v>
      </c>
      <c r="F94" s="88">
        <f t="shared" si="14"/>
        <v>0</v>
      </c>
      <c r="G94" s="88">
        <v>150</v>
      </c>
      <c r="H94" s="87"/>
      <c r="I94" s="88">
        <f t="shared" si="15"/>
        <v>0</v>
      </c>
      <c r="J94" s="88"/>
      <c r="K94" s="30"/>
    </row>
    <row r="95" spans="1:11" ht="24.9" customHeight="1">
      <c r="A95" s="174" t="s">
        <v>303</v>
      </c>
      <c r="B95" s="175"/>
      <c r="C95" s="175"/>
      <c r="D95" s="176"/>
      <c r="E95" s="87">
        <v>24</v>
      </c>
      <c r="F95" s="88">
        <f t="shared" si="14"/>
        <v>0</v>
      </c>
      <c r="G95" s="88">
        <v>170</v>
      </c>
      <c r="H95" s="87"/>
      <c r="I95" s="88">
        <f t="shared" si="15"/>
        <v>0</v>
      </c>
      <c r="J95" s="88"/>
      <c r="K95" s="30"/>
    </row>
    <row r="96" spans="1:11" ht="24.9" customHeight="1">
      <c r="A96" s="174" t="s">
        <v>304</v>
      </c>
      <c r="B96" s="175"/>
      <c r="C96" s="175"/>
      <c r="D96" s="176"/>
      <c r="E96" s="87">
        <v>19</v>
      </c>
      <c r="F96" s="88">
        <f t="shared" si="14"/>
        <v>0</v>
      </c>
      <c r="G96" s="88">
        <v>110</v>
      </c>
      <c r="H96" s="87"/>
      <c r="I96" s="88">
        <f t="shared" si="15"/>
        <v>0</v>
      </c>
      <c r="J96" s="88"/>
      <c r="K96" s="30"/>
    </row>
    <row r="97" spans="1:11" ht="15" customHeight="1">
      <c r="A97" s="144" t="s">
        <v>305</v>
      </c>
      <c r="B97" s="145"/>
      <c r="C97" s="145"/>
      <c r="D97" s="145"/>
      <c r="E97" s="145"/>
      <c r="F97" s="145"/>
      <c r="G97" s="145"/>
      <c r="H97" s="145"/>
      <c r="I97" s="145"/>
      <c r="J97" s="146"/>
      <c r="K97" s="30"/>
    </row>
    <row r="98" spans="1:11" ht="24.9" customHeight="1">
      <c r="A98" s="174" t="s">
        <v>306</v>
      </c>
      <c r="B98" s="175"/>
      <c r="C98" s="175"/>
      <c r="D98" s="176"/>
      <c r="E98" s="87">
        <v>36</v>
      </c>
      <c r="F98" s="88">
        <f t="shared" ref="F98:F100" si="16">E98*H98/$D$10</f>
        <v>0</v>
      </c>
      <c r="G98" s="88">
        <v>80</v>
      </c>
      <c r="H98" s="87"/>
      <c r="I98" s="88">
        <f t="shared" ref="I98:I100" si="17">H98*G98</f>
        <v>0</v>
      </c>
      <c r="J98" s="88"/>
      <c r="K98" s="30"/>
    </row>
    <row r="99" spans="1:11" ht="24.9" customHeight="1">
      <c r="A99" s="174" t="s">
        <v>307</v>
      </c>
      <c r="B99" s="175"/>
      <c r="C99" s="175"/>
      <c r="D99" s="176"/>
      <c r="E99" s="87">
        <v>36</v>
      </c>
      <c r="F99" s="88">
        <f t="shared" si="16"/>
        <v>0</v>
      </c>
      <c r="G99" s="88">
        <v>80</v>
      </c>
      <c r="H99" s="87"/>
      <c r="I99" s="88">
        <f t="shared" si="17"/>
        <v>0</v>
      </c>
      <c r="J99" s="88"/>
      <c r="K99" s="30"/>
    </row>
    <row r="100" spans="1:11" ht="24.9" customHeight="1">
      <c r="A100" s="174" t="s">
        <v>308</v>
      </c>
      <c r="B100" s="175"/>
      <c r="C100" s="175"/>
      <c r="D100" s="176"/>
      <c r="E100" s="87">
        <v>36</v>
      </c>
      <c r="F100" s="88">
        <f t="shared" si="16"/>
        <v>0</v>
      </c>
      <c r="G100" s="88">
        <v>105</v>
      </c>
      <c r="H100" s="87"/>
      <c r="I100" s="88">
        <f t="shared" si="17"/>
        <v>0</v>
      </c>
      <c r="J100" s="88"/>
      <c r="K100" s="30"/>
    </row>
    <row r="101" spans="1:11" ht="15" customHeight="1">
      <c r="A101" s="108" t="s">
        <v>91</v>
      </c>
      <c r="B101" s="109"/>
      <c r="C101" s="109"/>
      <c r="D101" s="109"/>
      <c r="E101" s="109"/>
      <c r="F101" s="109"/>
      <c r="G101" s="109"/>
      <c r="H101" s="109"/>
      <c r="I101" s="109"/>
      <c r="J101" s="109"/>
      <c r="K101" s="30"/>
    </row>
    <row r="102" spans="1:11" ht="24.9" customHeight="1">
      <c r="A102" s="103" t="s">
        <v>18</v>
      </c>
      <c r="B102" s="104"/>
      <c r="C102" s="104"/>
      <c r="D102" s="104"/>
      <c r="E102" s="12" t="s">
        <v>19</v>
      </c>
      <c r="F102" s="12" t="s">
        <v>20</v>
      </c>
      <c r="G102" s="12" t="s">
        <v>21</v>
      </c>
      <c r="H102" s="12" t="s">
        <v>22</v>
      </c>
      <c r="I102" s="12" t="s">
        <v>23</v>
      </c>
      <c r="J102" s="12"/>
      <c r="K102" s="30"/>
    </row>
    <row r="103" spans="1:11" ht="15" customHeight="1">
      <c r="A103" s="89" t="s">
        <v>92</v>
      </c>
      <c r="B103" s="90"/>
      <c r="C103" s="90"/>
      <c r="D103" s="91"/>
      <c r="E103" s="27">
        <v>100</v>
      </c>
      <c r="F103" s="23">
        <f t="shared" ref="F103:F117" si="18">E103*H103/$D$10</f>
        <v>0</v>
      </c>
      <c r="G103" s="14">
        <v>960</v>
      </c>
      <c r="H103" s="22"/>
      <c r="I103" s="14">
        <f t="shared" ref="I103:I117" si="19">H103*G103</f>
        <v>0</v>
      </c>
      <c r="J103" s="33"/>
      <c r="K103" s="30"/>
    </row>
    <row r="104" spans="1:11" ht="15" customHeight="1">
      <c r="A104" s="89" t="s">
        <v>93</v>
      </c>
      <c r="B104" s="90"/>
      <c r="C104" s="90"/>
      <c r="D104" s="91"/>
      <c r="E104" s="27">
        <v>100</v>
      </c>
      <c r="F104" s="23">
        <f t="shared" si="18"/>
        <v>0</v>
      </c>
      <c r="G104" s="14">
        <v>880</v>
      </c>
      <c r="H104" s="22"/>
      <c r="I104" s="14">
        <f t="shared" si="19"/>
        <v>0</v>
      </c>
      <c r="J104" s="33"/>
      <c r="K104" s="30"/>
    </row>
    <row r="105" spans="1:11" ht="15" customHeight="1">
      <c r="A105" s="89" t="s">
        <v>94</v>
      </c>
      <c r="B105" s="90"/>
      <c r="C105" s="90"/>
      <c r="D105" s="91"/>
      <c r="E105" s="27">
        <v>100</v>
      </c>
      <c r="F105" s="23">
        <f t="shared" si="18"/>
        <v>0</v>
      </c>
      <c r="G105" s="14">
        <v>990</v>
      </c>
      <c r="H105" s="22"/>
      <c r="I105" s="14">
        <f t="shared" si="19"/>
        <v>0</v>
      </c>
      <c r="J105" s="33"/>
      <c r="K105" s="30"/>
    </row>
    <row r="106" spans="1:11" ht="15" customHeight="1">
      <c r="A106" s="89" t="s">
        <v>95</v>
      </c>
      <c r="B106" s="90"/>
      <c r="C106" s="90"/>
      <c r="D106" s="91"/>
      <c r="E106" s="27">
        <v>100</v>
      </c>
      <c r="F106" s="23">
        <f t="shared" si="18"/>
        <v>0</v>
      </c>
      <c r="G106" s="14">
        <v>480</v>
      </c>
      <c r="H106" s="22"/>
      <c r="I106" s="14">
        <f t="shared" si="19"/>
        <v>0</v>
      </c>
      <c r="J106" s="33"/>
      <c r="K106" s="30"/>
    </row>
    <row r="107" spans="1:11" ht="15" customHeight="1">
      <c r="A107" s="89" t="s">
        <v>96</v>
      </c>
      <c r="B107" s="90"/>
      <c r="C107" s="90"/>
      <c r="D107" s="91"/>
      <c r="E107" s="27">
        <v>100</v>
      </c>
      <c r="F107" s="23">
        <f t="shared" si="18"/>
        <v>0</v>
      </c>
      <c r="G107" s="14">
        <v>380</v>
      </c>
      <c r="H107" s="22"/>
      <c r="I107" s="14">
        <f t="shared" si="19"/>
        <v>0</v>
      </c>
      <c r="J107" s="33"/>
      <c r="K107" s="30"/>
    </row>
    <row r="108" spans="1:11" ht="15" customHeight="1">
      <c r="A108" s="125" t="s">
        <v>97</v>
      </c>
      <c r="B108" s="126"/>
      <c r="C108" s="126"/>
      <c r="D108" s="127"/>
      <c r="E108" s="27">
        <v>100</v>
      </c>
      <c r="F108" s="23">
        <f t="shared" si="18"/>
        <v>0</v>
      </c>
      <c r="G108" s="14">
        <v>240</v>
      </c>
      <c r="H108" s="43"/>
      <c r="I108" s="14">
        <f t="shared" si="19"/>
        <v>0</v>
      </c>
      <c r="J108" s="33"/>
      <c r="K108" s="30"/>
    </row>
    <row r="109" spans="1:11" ht="15" customHeight="1">
      <c r="A109" s="138" t="s">
        <v>98</v>
      </c>
      <c r="B109" s="139"/>
      <c r="C109" s="139"/>
      <c r="D109" s="140"/>
      <c r="E109" s="43">
        <v>100</v>
      </c>
      <c r="F109" s="23">
        <f t="shared" si="18"/>
        <v>0</v>
      </c>
      <c r="G109" s="14">
        <v>330</v>
      </c>
      <c r="H109" s="43"/>
      <c r="I109" s="14">
        <f t="shared" si="19"/>
        <v>0</v>
      </c>
      <c r="J109" s="33"/>
      <c r="K109" s="30"/>
    </row>
    <row r="110" spans="1:11" ht="15" customHeight="1">
      <c r="A110" s="138" t="s">
        <v>99</v>
      </c>
      <c r="B110" s="139"/>
      <c r="C110" s="139"/>
      <c r="D110" s="140"/>
      <c r="E110" s="43">
        <v>100</v>
      </c>
      <c r="F110" s="23">
        <f t="shared" si="18"/>
        <v>0</v>
      </c>
      <c r="G110" s="14">
        <v>390</v>
      </c>
      <c r="H110" s="43"/>
      <c r="I110" s="14">
        <f t="shared" si="19"/>
        <v>0</v>
      </c>
      <c r="J110" s="33"/>
      <c r="K110" s="30"/>
    </row>
    <row r="111" spans="1:11" ht="15" customHeight="1">
      <c r="A111" s="138" t="s">
        <v>100</v>
      </c>
      <c r="B111" s="139"/>
      <c r="C111" s="139"/>
      <c r="D111" s="140"/>
      <c r="E111" s="43">
        <v>100</v>
      </c>
      <c r="F111" s="23">
        <f t="shared" si="18"/>
        <v>0</v>
      </c>
      <c r="G111" s="14">
        <v>190</v>
      </c>
      <c r="H111" s="26"/>
      <c r="I111" s="14">
        <f t="shared" si="19"/>
        <v>0</v>
      </c>
      <c r="J111" s="33"/>
      <c r="K111" s="30"/>
    </row>
    <row r="112" spans="1:11" ht="15" customHeight="1">
      <c r="A112" s="138" t="s">
        <v>101</v>
      </c>
      <c r="B112" s="139"/>
      <c r="C112" s="139"/>
      <c r="D112" s="140"/>
      <c r="E112" s="43">
        <v>100</v>
      </c>
      <c r="F112" s="23">
        <f t="shared" si="18"/>
        <v>0</v>
      </c>
      <c r="G112" s="23">
        <v>370</v>
      </c>
      <c r="H112" s="26"/>
      <c r="I112" s="14">
        <f t="shared" si="19"/>
        <v>0</v>
      </c>
      <c r="J112" s="33"/>
      <c r="K112" s="30"/>
    </row>
    <row r="113" spans="1:251" ht="15" customHeight="1">
      <c r="A113" s="138" t="s">
        <v>102</v>
      </c>
      <c r="B113" s="139"/>
      <c r="C113" s="139"/>
      <c r="D113" s="140"/>
      <c r="E113" s="43">
        <v>100</v>
      </c>
      <c r="F113" s="23">
        <f t="shared" si="18"/>
        <v>0</v>
      </c>
      <c r="G113" s="14">
        <v>390</v>
      </c>
      <c r="H113" s="26"/>
      <c r="I113" s="14">
        <f t="shared" si="19"/>
        <v>0</v>
      </c>
      <c r="J113" s="33"/>
      <c r="K113" s="30"/>
      <c r="IJ113" s="6"/>
      <c r="IK113" s="6"/>
      <c r="IL113" s="6"/>
      <c r="IM113" s="6"/>
      <c r="IN113" s="6"/>
      <c r="IO113" s="6"/>
      <c r="IP113" s="6"/>
      <c r="IQ113" s="6"/>
    </row>
    <row r="114" spans="1:251" ht="15" customHeight="1">
      <c r="A114" s="125" t="s">
        <v>103</v>
      </c>
      <c r="B114" s="126"/>
      <c r="C114" s="126"/>
      <c r="D114" s="127"/>
      <c r="E114" s="27">
        <v>100</v>
      </c>
      <c r="F114" s="23">
        <f t="shared" si="18"/>
        <v>0</v>
      </c>
      <c r="G114" s="14">
        <v>640</v>
      </c>
      <c r="H114" s="43"/>
      <c r="I114" s="14">
        <f t="shared" si="19"/>
        <v>0</v>
      </c>
      <c r="J114" s="33"/>
      <c r="K114" s="30"/>
    </row>
    <row r="115" spans="1:251" ht="24.6" customHeight="1">
      <c r="A115" s="125" t="s">
        <v>104</v>
      </c>
      <c r="B115" s="126"/>
      <c r="C115" s="126"/>
      <c r="D115" s="127"/>
      <c r="E115" s="27">
        <v>100</v>
      </c>
      <c r="F115" s="23">
        <f t="shared" ref="F115" si="20">E115*H115/$D$10</f>
        <v>0</v>
      </c>
      <c r="G115" s="14">
        <v>220</v>
      </c>
      <c r="H115" s="26"/>
      <c r="I115" s="14">
        <f t="shared" ref="I115" si="21">H115*G115</f>
        <v>0</v>
      </c>
      <c r="J115" s="33"/>
      <c r="K115" s="30"/>
    </row>
    <row r="116" spans="1:251" ht="13.5" customHeight="1">
      <c r="A116" s="125" t="s">
        <v>105</v>
      </c>
      <c r="B116" s="126"/>
      <c r="C116" s="126"/>
      <c r="D116" s="127"/>
      <c r="E116" s="27">
        <v>100</v>
      </c>
      <c r="F116" s="23">
        <f t="shared" ref="F116" si="22">E116*H116/$D$10</f>
        <v>0</v>
      </c>
      <c r="G116" s="14">
        <v>180</v>
      </c>
      <c r="H116" s="26"/>
      <c r="I116" s="14">
        <f t="shared" ref="I116" si="23">H116*G116</f>
        <v>0</v>
      </c>
      <c r="J116" s="33"/>
      <c r="K116" s="30"/>
      <c r="L116" s="46"/>
    </row>
    <row r="117" spans="1:251" ht="15" customHeight="1">
      <c r="A117" s="125" t="s">
        <v>106</v>
      </c>
      <c r="B117" s="126"/>
      <c r="C117" s="126"/>
      <c r="D117" s="127"/>
      <c r="E117" s="27">
        <v>100</v>
      </c>
      <c r="F117" s="23">
        <f t="shared" si="18"/>
        <v>0</v>
      </c>
      <c r="G117" s="14">
        <v>210</v>
      </c>
      <c r="H117" s="26"/>
      <c r="I117" s="14">
        <f t="shared" si="19"/>
        <v>0</v>
      </c>
      <c r="J117" s="33"/>
      <c r="K117" s="30"/>
    </row>
    <row r="118" spans="1:251" ht="15" customHeight="1">
      <c r="A118" s="105" t="s">
        <v>107</v>
      </c>
      <c r="B118" s="106"/>
      <c r="C118" s="106"/>
      <c r="D118" s="107"/>
      <c r="E118" s="26">
        <v>100</v>
      </c>
      <c r="F118" s="23">
        <f t="shared" ref="F118:F121" si="24">E118*H118/$D$10</f>
        <v>0</v>
      </c>
      <c r="G118" s="23">
        <v>190</v>
      </c>
      <c r="H118" s="26"/>
      <c r="I118" s="23">
        <f t="shared" ref="I118:I121" si="25">H118*G118</f>
        <v>0</v>
      </c>
      <c r="J118" s="23"/>
      <c r="K118" s="30"/>
    </row>
    <row r="119" spans="1:251" ht="15" customHeight="1">
      <c r="A119" s="105" t="s">
        <v>108</v>
      </c>
      <c r="B119" s="106"/>
      <c r="C119" s="106"/>
      <c r="D119" s="107"/>
      <c r="E119" s="26">
        <v>100</v>
      </c>
      <c r="F119" s="23">
        <f t="shared" si="24"/>
        <v>0</v>
      </c>
      <c r="G119" s="23">
        <v>650</v>
      </c>
      <c r="H119" s="26"/>
      <c r="I119" s="23">
        <f t="shared" si="25"/>
        <v>0</v>
      </c>
      <c r="J119" s="23"/>
      <c r="K119" s="30"/>
    </row>
    <row r="120" spans="1:251" ht="15" customHeight="1">
      <c r="A120" s="105" t="s">
        <v>293</v>
      </c>
      <c r="B120" s="106"/>
      <c r="C120" s="106"/>
      <c r="D120" s="107"/>
      <c r="E120" s="26">
        <v>100</v>
      </c>
      <c r="F120" s="23">
        <f t="shared" si="24"/>
        <v>0</v>
      </c>
      <c r="G120" s="23"/>
      <c r="H120" s="26"/>
      <c r="I120" s="23">
        <f t="shared" si="25"/>
        <v>0</v>
      </c>
      <c r="J120" s="23"/>
      <c r="K120" s="30"/>
    </row>
    <row r="121" spans="1:251" ht="15" customHeight="1">
      <c r="A121" s="171" t="s">
        <v>294</v>
      </c>
      <c r="B121" s="172"/>
      <c r="C121" s="172"/>
      <c r="D121" s="173"/>
      <c r="E121" s="26">
        <v>100</v>
      </c>
      <c r="F121" s="23">
        <f t="shared" si="24"/>
        <v>0</v>
      </c>
      <c r="G121" s="23"/>
      <c r="H121" s="26"/>
      <c r="I121" s="23">
        <f t="shared" si="25"/>
        <v>0</v>
      </c>
      <c r="J121" s="23"/>
      <c r="K121" s="30"/>
    </row>
    <row r="122" spans="1:251" ht="15" customHeight="1">
      <c r="A122" s="108" t="s">
        <v>109</v>
      </c>
      <c r="B122" s="109"/>
      <c r="C122" s="109"/>
      <c r="D122" s="109"/>
      <c r="E122" s="109"/>
      <c r="F122" s="109"/>
      <c r="G122" s="109"/>
      <c r="H122" s="109"/>
      <c r="I122" s="109"/>
      <c r="J122" s="109"/>
      <c r="K122" s="30"/>
    </row>
    <row r="123" spans="1:251" ht="24.9" customHeight="1">
      <c r="A123" s="103" t="s">
        <v>18</v>
      </c>
      <c r="B123" s="104"/>
      <c r="C123" s="104"/>
      <c r="D123" s="104"/>
      <c r="E123" s="12" t="s">
        <v>19</v>
      </c>
      <c r="F123" s="12" t="s">
        <v>20</v>
      </c>
      <c r="G123" s="12" t="s">
        <v>21</v>
      </c>
      <c r="H123" s="12" t="s">
        <v>22</v>
      </c>
      <c r="I123" s="12" t="s">
        <v>23</v>
      </c>
      <c r="J123" s="12"/>
      <c r="K123" s="30"/>
    </row>
    <row r="124" spans="1:251" ht="15" customHeight="1">
      <c r="A124" s="92" t="s">
        <v>110</v>
      </c>
      <c r="B124" s="93"/>
      <c r="C124" s="93"/>
      <c r="D124" s="93"/>
      <c r="E124" s="27">
        <v>70</v>
      </c>
      <c r="F124" s="23">
        <f t="shared" ref="F124:F135" si="26">E124*H124/$D$10</f>
        <v>0</v>
      </c>
      <c r="G124" s="14">
        <v>250</v>
      </c>
      <c r="H124" s="27"/>
      <c r="I124" s="14">
        <f t="shared" ref="I124:I135" si="27">G124*H124</f>
        <v>0</v>
      </c>
      <c r="J124" s="33"/>
      <c r="K124" s="30"/>
    </row>
    <row r="125" spans="1:251" ht="15" customHeight="1">
      <c r="A125" s="92" t="s">
        <v>111</v>
      </c>
      <c r="B125" s="93"/>
      <c r="C125" s="93"/>
      <c r="D125" s="93"/>
      <c r="E125" s="27">
        <v>60</v>
      </c>
      <c r="F125" s="23">
        <f t="shared" si="26"/>
        <v>0</v>
      </c>
      <c r="G125" s="14">
        <v>140</v>
      </c>
      <c r="H125" s="27"/>
      <c r="I125" s="14">
        <f t="shared" si="27"/>
        <v>0</v>
      </c>
      <c r="J125" s="33"/>
      <c r="K125" s="30"/>
    </row>
    <row r="126" spans="1:251" ht="24.9" customHeight="1">
      <c r="A126" s="92" t="s">
        <v>112</v>
      </c>
      <c r="B126" s="93"/>
      <c r="C126" s="93"/>
      <c r="D126" s="93"/>
      <c r="E126" s="27">
        <v>50</v>
      </c>
      <c r="F126" s="23">
        <f t="shared" si="26"/>
        <v>0</v>
      </c>
      <c r="G126" s="14">
        <v>240</v>
      </c>
      <c r="H126" s="22"/>
      <c r="I126" s="14">
        <f t="shared" si="27"/>
        <v>0</v>
      </c>
      <c r="J126" s="33"/>
      <c r="K126" s="30"/>
    </row>
    <row r="127" spans="1:251" s="4" customFormat="1" ht="15" customHeight="1">
      <c r="A127" s="92" t="s">
        <v>113</v>
      </c>
      <c r="B127" s="93"/>
      <c r="C127" s="93"/>
      <c r="D127" s="93"/>
      <c r="E127" s="27">
        <v>30</v>
      </c>
      <c r="F127" s="23">
        <f t="shared" si="26"/>
        <v>0</v>
      </c>
      <c r="G127" s="14">
        <v>40</v>
      </c>
      <c r="H127" s="22"/>
      <c r="I127" s="14">
        <f t="shared" si="27"/>
        <v>0</v>
      </c>
      <c r="J127" s="33"/>
      <c r="K127" s="61"/>
      <c r="L127" s="62"/>
      <c r="Q127" s="6"/>
      <c r="R127" s="6"/>
      <c r="S127" s="6"/>
      <c r="T127" s="6"/>
      <c r="U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</row>
    <row r="128" spans="1:251" s="2" customFormat="1" ht="54.9" customHeight="1">
      <c r="A128" s="92" t="s">
        <v>114</v>
      </c>
      <c r="B128" s="93"/>
      <c r="C128" s="93"/>
      <c r="D128" s="93"/>
      <c r="E128" s="22">
        <v>50</v>
      </c>
      <c r="F128" s="23">
        <f t="shared" si="26"/>
        <v>0</v>
      </c>
      <c r="G128" s="14">
        <v>180</v>
      </c>
      <c r="H128" s="27"/>
      <c r="I128" s="14">
        <f t="shared" si="27"/>
        <v>0</v>
      </c>
      <c r="J128" s="33"/>
      <c r="K128" s="30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  <c r="CT128" s="6"/>
      <c r="CU128" s="6"/>
      <c r="CV128" s="6"/>
      <c r="CW128" s="6"/>
      <c r="CX128" s="6"/>
      <c r="CY128" s="6"/>
      <c r="CZ128" s="6"/>
      <c r="DA128" s="6"/>
      <c r="DB128" s="6"/>
      <c r="DC128" s="6"/>
      <c r="DD128" s="6"/>
      <c r="DE128" s="6"/>
      <c r="DF128" s="6"/>
      <c r="DG128" s="6"/>
      <c r="DH128" s="6"/>
      <c r="DI128" s="6"/>
      <c r="DJ128" s="6"/>
      <c r="DK128" s="6"/>
      <c r="DL128" s="6"/>
      <c r="DM128" s="6"/>
      <c r="DN128" s="6"/>
      <c r="DO128" s="6"/>
      <c r="DP128" s="6"/>
      <c r="DQ128" s="6"/>
      <c r="DR128" s="6"/>
      <c r="DS128" s="6"/>
      <c r="DT128" s="6"/>
      <c r="DU128" s="6"/>
      <c r="DV128" s="6"/>
      <c r="DW128" s="6"/>
      <c r="DX128" s="6"/>
      <c r="DY128" s="6"/>
      <c r="DZ128" s="6"/>
      <c r="EA128" s="6"/>
      <c r="EB128" s="6"/>
      <c r="EC128" s="6"/>
      <c r="ED128" s="6"/>
      <c r="EE128" s="6"/>
      <c r="EF128" s="6"/>
      <c r="EG128" s="6"/>
      <c r="EH128" s="6"/>
      <c r="EI128" s="6"/>
      <c r="EJ128" s="6"/>
      <c r="EK128" s="6"/>
      <c r="EL128" s="6"/>
      <c r="EM128" s="6"/>
      <c r="EN128" s="6"/>
      <c r="EO128" s="6"/>
      <c r="EP128" s="6"/>
      <c r="EQ128" s="6"/>
      <c r="ER128" s="6"/>
      <c r="ES128" s="6"/>
      <c r="ET128" s="6"/>
      <c r="EU128" s="6"/>
      <c r="EV128" s="6"/>
      <c r="EW128" s="6"/>
      <c r="EX128" s="6"/>
      <c r="EY128" s="6"/>
      <c r="EZ128" s="6"/>
      <c r="FA128" s="6"/>
      <c r="FB128" s="6"/>
      <c r="FC128" s="6"/>
      <c r="FD128" s="6"/>
      <c r="FE128" s="6"/>
      <c r="FF128" s="6"/>
      <c r="FG128" s="6"/>
      <c r="FH128" s="6"/>
      <c r="FI128" s="6"/>
      <c r="FJ128" s="6"/>
      <c r="FK128" s="6"/>
      <c r="FL128" s="6"/>
      <c r="FM128" s="6"/>
      <c r="FN128" s="6"/>
      <c r="FO128" s="6"/>
      <c r="FP128" s="6"/>
      <c r="FQ128" s="6"/>
      <c r="FR128" s="6"/>
      <c r="FS128" s="6"/>
      <c r="FT128" s="6"/>
      <c r="FU128" s="6"/>
      <c r="FV128" s="6"/>
      <c r="FW128" s="6"/>
      <c r="FX128" s="6"/>
      <c r="FY128" s="6"/>
      <c r="FZ128" s="6"/>
      <c r="GA128" s="6"/>
      <c r="GB128" s="6"/>
      <c r="GC128" s="6"/>
      <c r="GD128" s="6"/>
      <c r="GE128" s="6"/>
      <c r="GF128" s="6"/>
      <c r="GG128" s="6"/>
      <c r="GH128" s="6"/>
      <c r="GI128" s="6"/>
      <c r="GJ128" s="6"/>
      <c r="GK128" s="6"/>
      <c r="GL128" s="6"/>
      <c r="GM128" s="6"/>
      <c r="GN128" s="6"/>
      <c r="GO128" s="6"/>
      <c r="GP128" s="6"/>
      <c r="GQ128" s="6"/>
      <c r="GR128" s="6"/>
      <c r="GS128" s="6"/>
      <c r="GT128" s="6"/>
      <c r="GU128" s="6"/>
      <c r="GV128" s="6"/>
      <c r="GW128" s="6"/>
      <c r="GX128" s="6"/>
      <c r="GY128" s="6"/>
      <c r="GZ128" s="6"/>
      <c r="HA128" s="6"/>
      <c r="HB128" s="6"/>
      <c r="HC128" s="6"/>
      <c r="HD128" s="6"/>
      <c r="HE128" s="6"/>
      <c r="HF128" s="6"/>
      <c r="HG128" s="6"/>
      <c r="HH128" s="6"/>
      <c r="HI128" s="6"/>
      <c r="HJ128" s="6"/>
      <c r="HK128" s="6"/>
      <c r="HL128" s="6"/>
      <c r="HM128" s="6"/>
      <c r="HN128" s="6"/>
      <c r="HO128" s="6"/>
      <c r="HP128" s="6"/>
      <c r="HQ128" s="6"/>
      <c r="HR128" s="6"/>
      <c r="HS128" s="6"/>
      <c r="HT128" s="6"/>
      <c r="HU128" s="6"/>
      <c r="HV128" s="6"/>
      <c r="HW128" s="6"/>
      <c r="HX128" s="6"/>
      <c r="HY128" s="6"/>
      <c r="HZ128" s="6"/>
      <c r="IA128" s="6"/>
      <c r="IB128" s="6"/>
      <c r="IC128" s="6"/>
      <c r="ID128" s="6"/>
      <c r="IE128" s="6"/>
      <c r="IF128" s="6"/>
      <c r="IG128" s="6"/>
      <c r="IH128" s="6"/>
      <c r="II128" s="6"/>
    </row>
    <row r="129" spans="1:243" ht="24.9" customHeight="1">
      <c r="A129" s="168" t="s">
        <v>115</v>
      </c>
      <c r="B129" s="169"/>
      <c r="C129" s="169"/>
      <c r="D129" s="170"/>
      <c r="E129" s="48">
        <v>27</v>
      </c>
      <c r="F129" s="23">
        <f t="shared" si="26"/>
        <v>0</v>
      </c>
      <c r="G129" s="49">
        <v>90</v>
      </c>
      <c r="H129" s="50"/>
      <c r="I129" s="14">
        <f t="shared" si="27"/>
        <v>0</v>
      </c>
      <c r="J129" s="33"/>
      <c r="K129" s="30"/>
    </row>
    <row r="130" spans="1:243" ht="15" customHeight="1">
      <c r="A130" s="92" t="s">
        <v>116</v>
      </c>
      <c r="B130" s="93"/>
      <c r="C130" s="93"/>
      <c r="D130" s="93"/>
      <c r="E130" s="27">
        <v>40</v>
      </c>
      <c r="F130" s="23">
        <f t="shared" si="26"/>
        <v>0</v>
      </c>
      <c r="G130" s="14">
        <v>70</v>
      </c>
      <c r="H130" s="43"/>
      <c r="I130" s="14">
        <f t="shared" si="27"/>
        <v>0</v>
      </c>
      <c r="J130" s="33"/>
      <c r="K130" s="30"/>
    </row>
    <row r="131" spans="1:243" ht="24.9" customHeight="1">
      <c r="A131" s="125" t="s">
        <v>117</v>
      </c>
      <c r="B131" s="126"/>
      <c r="C131" s="126"/>
      <c r="D131" s="127"/>
      <c r="E131" s="27">
        <v>50</v>
      </c>
      <c r="F131" s="23">
        <f t="shared" si="26"/>
        <v>0</v>
      </c>
      <c r="G131" s="14">
        <v>235</v>
      </c>
      <c r="H131" s="27"/>
      <c r="I131" s="14">
        <f t="shared" si="27"/>
        <v>0</v>
      </c>
      <c r="J131" s="33"/>
      <c r="K131" s="30"/>
    </row>
    <row r="132" spans="1:243" s="2" customFormat="1" ht="24.9" customHeight="1">
      <c r="A132" s="125" t="s">
        <v>118</v>
      </c>
      <c r="B132" s="126"/>
      <c r="C132" s="126"/>
      <c r="D132" s="127"/>
      <c r="E132" s="27">
        <v>40</v>
      </c>
      <c r="F132" s="23">
        <f t="shared" si="26"/>
        <v>0</v>
      </c>
      <c r="G132" s="14">
        <v>250</v>
      </c>
      <c r="H132" s="27"/>
      <c r="I132" s="14">
        <f t="shared" si="27"/>
        <v>0</v>
      </c>
      <c r="J132" s="33"/>
      <c r="K132" s="30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  <c r="BU132" s="6"/>
      <c r="BV132" s="6"/>
      <c r="BW132" s="6"/>
      <c r="BX132" s="6"/>
      <c r="BY132" s="6"/>
      <c r="BZ132" s="6"/>
      <c r="CA132" s="6"/>
      <c r="CB132" s="6"/>
      <c r="CC132" s="6"/>
      <c r="CD132" s="6"/>
      <c r="CE132" s="6"/>
      <c r="CF132" s="6"/>
      <c r="CG132" s="6"/>
      <c r="CH132" s="6"/>
      <c r="CI132" s="6"/>
      <c r="CJ132" s="6"/>
      <c r="CK132" s="6"/>
      <c r="CL132" s="6"/>
      <c r="CM132" s="6"/>
      <c r="CN132" s="6"/>
      <c r="CO132" s="6"/>
      <c r="CP132" s="6"/>
      <c r="CQ132" s="6"/>
      <c r="CR132" s="6"/>
      <c r="CS132" s="6"/>
      <c r="CT132" s="6"/>
      <c r="CU132" s="6"/>
      <c r="CV132" s="6"/>
      <c r="CW132" s="6"/>
      <c r="CX132" s="6"/>
      <c r="CY132" s="6"/>
      <c r="CZ132" s="6"/>
      <c r="DA132" s="6"/>
      <c r="DB132" s="6"/>
      <c r="DC132" s="6"/>
      <c r="DD132" s="6"/>
      <c r="DE132" s="6"/>
      <c r="DF132" s="6"/>
      <c r="DG132" s="6"/>
      <c r="DH132" s="6"/>
      <c r="DI132" s="6"/>
      <c r="DJ132" s="6"/>
      <c r="DK132" s="6"/>
      <c r="DL132" s="6"/>
      <c r="DM132" s="6"/>
      <c r="DN132" s="6"/>
      <c r="DO132" s="6"/>
      <c r="DP132" s="6"/>
      <c r="DQ132" s="6"/>
      <c r="DR132" s="6"/>
      <c r="DS132" s="6"/>
      <c r="DT132" s="6"/>
      <c r="DU132" s="6"/>
      <c r="DV132" s="6"/>
      <c r="DW132" s="6"/>
      <c r="DX132" s="6"/>
      <c r="DY132" s="6"/>
      <c r="DZ132" s="6"/>
      <c r="EA132" s="6"/>
      <c r="EB132" s="6"/>
      <c r="EC132" s="6"/>
      <c r="ED132" s="6"/>
      <c r="EE132" s="6"/>
      <c r="EF132" s="6"/>
      <c r="EG132" s="6"/>
      <c r="EH132" s="6"/>
      <c r="EI132" s="6"/>
      <c r="EJ132" s="6"/>
      <c r="EK132" s="6"/>
      <c r="EL132" s="6"/>
      <c r="EM132" s="6"/>
      <c r="EN132" s="6"/>
      <c r="EO132" s="6"/>
      <c r="EP132" s="6"/>
      <c r="EQ132" s="6"/>
      <c r="ER132" s="6"/>
      <c r="ES132" s="6"/>
      <c r="ET132" s="6"/>
      <c r="EU132" s="6"/>
      <c r="EV132" s="6"/>
      <c r="EW132" s="6"/>
      <c r="EX132" s="6"/>
      <c r="EY132" s="6"/>
      <c r="EZ132" s="6"/>
      <c r="FA132" s="6"/>
      <c r="FB132" s="6"/>
      <c r="FC132" s="6"/>
      <c r="FD132" s="6"/>
      <c r="FE132" s="6"/>
      <c r="FF132" s="6"/>
      <c r="FG132" s="6"/>
      <c r="FH132" s="6"/>
      <c r="FI132" s="6"/>
      <c r="FJ132" s="6"/>
      <c r="FK132" s="6"/>
      <c r="FL132" s="6"/>
      <c r="FM132" s="6"/>
      <c r="FN132" s="6"/>
      <c r="FO132" s="6"/>
      <c r="FP132" s="6"/>
      <c r="FQ132" s="6"/>
      <c r="FR132" s="6"/>
      <c r="FS132" s="6"/>
      <c r="FT132" s="6"/>
      <c r="FU132" s="6"/>
      <c r="FV132" s="6"/>
      <c r="FW132" s="6"/>
      <c r="FX132" s="6"/>
      <c r="FY132" s="6"/>
      <c r="FZ132" s="6"/>
      <c r="GA132" s="6"/>
      <c r="GB132" s="6"/>
      <c r="GC132" s="6"/>
      <c r="GD132" s="6"/>
      <c r="GE132" s="6"/>
      <c r="GF132" s="6"/>
      <c r="GG132" s="6"/>
      <c r="GH132" s="6"/>
      <c r="GI132" s="6"/>
      <c r="GJ132" s="6"/>
      <c r="GK132" s="6"/>
      <c r="GL132" s="6"/>
      <c r="GM132" s="6"/>
      <c r="GN132" s="6"/>
      <c r="GO132" s="6"/>
      <c r="GP132" s="6"/>
      <c r="GQ132" s="6"/>
      <c r="GR132" s="6"/>
      <c r="GS132" s="6"/>
      <c r="GT132" s="6"/>
      <c r="GU132" s="6"/>
      <c r="GV132" s="6"/>
      <c r="GW132" s="6"/>
      <c r="GX132" s="6"/>
      <c r="GY132" s="6"/>
      <c r="GZ132" s="6"/>
      <c r="HA132" s="6"/>
      <c r="HB132" s="6"/>
      <c r="HC132" s="6"/>
      <c r="HD132" s="6"/>
      <c r="HE132" s="6"/>
      <c r="HF132" s="6"/>
      <c r="HG132" s="6"/>
      <c r="HH132" s="6"/>
      <c r="HI132" s="6"/>
      <c r="HJ132" s="6"/>
      <c r="HK132" s="6"/>
      <c r="HL132" s="6"/>
      <c r="HM132" s="6"/>
      <c r="HN132" s="6"/>
      <c r="HO132" s="6"/>
      <c r="HP132" s="6"/>
      <c r="HQ132" s="6"/>
      <c r="HR132" s="6"/>
      <c r="HS132" s="6"/>
      <c r="HT132" s="6"/>
      <c r="HU132" s="6"/>
      <c r="HV132" s="6"/>
      <c r="HW132" s="6"/>
      <c r="HX132" s="6"/>
      <c r="HY132" s="6"/>
      <c r="HZ132" s="6"/>
      <c r="IA132" s="6"/>
      <c r="IB132" s="6"/>
      <c r="IC132" s="6"/>
      <c r="ID132" s="6"/>
      <c r="IE132" s="6"/>
      <c r="IF132" s="6"/>
      <c r="IG132" s="6"/>
      <c r="IH132" s="6"/>
      <c r="II132" s="6"/>
    </row>
    <row r="133" spans="1:243" s="2" customFormat="1" ht="15" customHeight="1">
      <c r="A133" s="125" t="s">
        <v>119</v>
      </c>
      <c r="B133" s="126"/>
      <c r="C133" s="126"/>
      <c r="D133" s="127"/>
      <c r="E133" s="27">
        <v>70</v>
      </c>
      <c r="F133" s="23">
        <f t="shared" si="26"/>
        <v>0</v>
      </c>
      <c r="G133" s="14">
        <v>120</v>
      </c>
      <c r="H133" s="27"/>
      <c r="I133" s="14">
        <f t="shared" si="27"/>
        <v>0</v>
      </c>
      <c r="J133" s="33"/>
      <c r="K133" s="30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6"/>
      <c r="BV133" s="6"/>
      <c r="BW133" s="6"/>
      <c r="BX133" s="6"/>
      <c r="BY133" s="6"/>
      <c r="BZ133" s="6"/>
      <c r="CA133" s="6"/>
      <c r="CB133" s="6"/>
      <c r="CC133" s="6"/>
      <c r="CD133" s="6"/>
      <c r="CE133" s="6"/>
      <c r="CF133" s="6"/>
      <c r="CG133" s="6"/>
      <c r="CH133" s="6"/>
      <c r="CI133" s="6"/>
      <c r="CJ133" s="6"/>
      <c r="CK133" s="6"/>
      <c r="CL133" s="6"/>
      <c r="CM133" s="6"/>
      <c r="CN133" s="6"/>
      <c r="CO133" s="6"/>
      <c r="CP133" s="6"/>
      <c r="CQ133" s="6"/>
      <c r="CR133" s="6"/>
      <c r="CS133" s="6"/>
      <c r="CT133" s="6"/>
      <c r="CU133" s="6"/>
      <c r="CV133" s="6"/>
      <c r="CW133" s="6"/>
      <c r="CX133" s="6"/>
      <c r="CY133" s="6"/>
      <c r="CZ133" s="6"/>
      <c r="DA133" s="6"/>
      <c r="DB133" s="6"/>
      <c r="DC133" s="6"/>
      <c r="DD133" s="6"/>
      <c r="DE133" s="6"/>
      <c r="DF133" s="6"/>
      <c r="DG133" s="6"/>
      <c r="DH133" s="6"/>
      <c r="DI133" s="6"/>
      <c r="DJ133" s="6"/>
      <c r="DK133" s="6"/>
      <c r="DL133" s="6"/>
      <c r="DM133" s="6"/>
      <c r="DN133" s="6"/>
      <c r="DO133" s="6"/>
      <c r="DP133" s="6"/>
      <c r="DQ133" s="6"/>
      <c r="DR133" s="6"/>
      <c r="DS133" s="6"/>
      <c r="DT133" s="6"/>
      <c r="DU133" s="6"/>
      <c r="DV133" s="6"/>
      <c r="DW133" s="6"/>
      <c r="DX133" s="6"/>
      <c r="DY133" s="6"/>
      <c r="DZ133" s="6"/>
      <c r="EA133" s="6"/>
      <c r="EB133" s="6"/>
      <c r="EC133" s="6"/>
      <c r="ED133" s="6"/>
      <c r="EE133" s="6"/>
      <c r="EF133" s="6"/>
      <c r="EG133" s="6"/>
      <c r="EH133" s="6"/>
      <c r="EI133" s="6"/>
      <c r="EJ133" s="6"/>
      <c r="EK133" s="6"/>
      <c r="EL133" s="6"/>
      <c r="EM133" s="6"/>
      <c r="EN133" s="6"/>
      <c r="EO133" s="6"/>
      <c r="EP133" s="6"/>
      <c r="EQ133" s="6"/>
      <c r="ER133" s="6"/>
      <c r="ES133" s="6"/>
      <c r="ET133" s="6"/>
      <c r="EU133" s="6"/>
      <c r="EV133" s="6"/>
      <c r="EW133" s="6"/>
      <c r="EX133" s="6"/>
      <c r="EY133" s="6"/>
      <c r="EZ133" s="6"/>
      <c r="FA133" s="6"/>
      <c r="FB133" s="6"/>
      <c r="FC133" s="6"/>
      <c r="FD133" s="6"/>
      <c r="FE133" s="6"/>
      <c r="FF133" s="6"/>
      <c r="FG133" s="6"/>
      <c r="FH133" s="6"/>
      <c r="FI133" s="6"/>
      <c r="FJ133" s="6"/>
      <c r="FK133" s="6"/>
      <c r="FL133" s="6"/>
      <c r="FM133" s="6"/>
      <c r="FN133" s="6"/>
      <c r="FO133" s="6"/>
      <c r="FP133" s="6"/>
      <c r="FQ133" s="6"/>
      <c r="FR133" s="6"/>
      <c r="FS133" s="6"/>
      <c r="FT133" s="6"/>
      <c r="FU133" s="6"/>
      <c r="FV133" s="6"/>
      <c r="FW133" s="6"/>
      <c r="FX133" s="6"/>
      <c r="FY133" s="6"/>
      <c r="FZ133" s="6"/>
      <c r="GA133" s="6"/>
      <c r="GB133" s="6"/>
      <c r="GC133" s="6"/>
      <c r="GD133" s="6"/>
      <c r="GE133" s="6"/>
      <c r="GF133" s="6"/>
      <c r="GG133" s="6"/>
      <c r="GH133" s="6"/>
      <c r="GI133" s="6"/>
      <c r="GJ133" s="6"/>
      <c r="GK133" s="6"/>
      <c r="GL133" s="6"/>
      <c r="GM133" s="6"/>
      <c r="GN133" s="6"/>
      <c r="GO133" s="6"/>
      <c r="GP133" s="6"/>
      <c r="GQ133" s="6"/>
      <c r="GR133" s="6"/>
      <c r="GS133" s="6"/>
      <c r="GT133" s="6"/>
      <c r="GU133" s="6"/>
      <c r="GV133" s="6"/>
      <c r="GW133" s="6"/>
      <c r="GX133" s="6"/>
      <c r="GY133" s="6"/>
      <c r="GZ133" s="6"/>
      <c r="HA133" s="6"/>
      <c r="HB133" s="6"/>
      <c r="HC133" s="6"/>
      <c r="HD133" s="6"/>
      <c r="HE133" s="6"/>
      <c r="HF133" s="6"/>
      <c r="HG133" s="6"/>
      <c r="HH133" s="6"/>
      <c r="HI133" s="6"/>
      <c r="HJ133" s="6"/>
      <c r="HK133" s="6"/>
      <c r="HL133" s="6"/>
      <c r="HM133" s="6"/>
      <c r="HN133" s="6"/>
      <c r="HO133" s="6"/>
      <c r="HP133" s="6"/>
      <c r="HQ133" s="6"/>
      <c r="HR133" s="6"/>
      <c r="HS133" s="6"/>
      <c r="HT133" s="6"/>
      <c r="HU133" s="6"/>
      <c r="HV133" s="6"/>
      <c r="HW133" s="6"/>
      <c r="HX133" s="6"/>
      <c r="HY133" s="6"/>
      <c r="HZ133" s="6"/>
      <c r="IA133" s="6"/>
      <c r="IB133" s="6"/>
      <c r="IC133" s="6"/>
      <c r="ID133" s="6"/>
      <c r="IE133" s="6"/>
      <c r="IF133" s="6"/>
      <c r="IG133" s="6"/>
      <c r="IH133" s="6"/>
      <c r="II133" s="6"/>
    </row>
    <row r="134" spans="1:243" s="2" customFormat="1" ht="15" customHeight="1">
      <c r="A134" s="92" t="s">
        <v>120</v>
      </c>
      <c r="B134" s="93"/>
      <c r="C134" s="93"/>
      <c r="D134" s="93"/>
      <c r="E134" s="27">
        <v>35</v>
      </c>
      <c r="F134" s="23">
        <f t="shared" si="26"/>
        <v>0</v>
      </c>
      <c r="G134" s="14">
        <v>220</v>
      </c>
      <c r="H134" s="43"/>
      <c r="I134" s="14">
        <f t="shared" si="27"/>
        <v>0</v>
      </c>
      <c r="J134" s="33"/>
      <c r="K134" s="30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6"/>
      <c r="BV134" s="6"/>
      <c r="BW134" s="6"/>
      <c r="BX134" s="6"/>
      <c r="BY134" s="6"/>
      <c r="BZ134" s="6"/>
      <c r="CA134" s="6"/>
      <c r="CB134" s="6"/>
      <c r="CC134" s="6"/>
      <c r="CD134" s="6"/>
      <c r="CE134" s="6"/>
      <c r="CF134" s="6"/>
      <c r="CG134" s="6"/>
      <c r="CH134" s="6"/>
      <c r="CI134" s="6"/>
      <c r="CJ134" s="6"/>
      <c r="CK134" s="6"/>
      <c r="CL134" s="6"/>
      <c r="CM134" s="6"/>
      <c r="CN134" s="6"/>
      <c r="CO134" s="6"/>
      <c r="CP134" s="6"/>
      <c r="CQ134" s="6"/>
      <c r="CR134" s="6"/>
      <c r="CS134" s="6"/>
      <c r="CT134" s="6"/>
      <c r="CU134" s="6"/>
      <c r="CV134" s="6"/>
      <c r="CW134" s="6"/>
      <c r="CX134" s="6"/>
      <c r="CY134" s="6"/>
      <c r="CZ134" s="6"/>
      <c r="DA134" s="6"/>
      <c r="DB134" s="6"/>
      <c r="DC134" s="6"/>
      <c r="DD134" s="6"/>
      <c r="DE134" s="6"/>
      <c r="DF134" s="6"/>
      <c r="DG134" s="6"/>
      <c r="DH134" s="6"/>
      <c r="DI134" s="6"/>
      <c r="DJ134" s="6"/>
      <c r="DK134" s="6"/>
      <c r="DL134" s="6"/>
      <c r="DM134" s="6"/>
      <c r="DN134" s="6"/>
      <c r="DO134" s="6"/>
      <c r="DP134" s="6"/>
      <c r="DQ134" s="6"/>
      <c r="DR134" s="6"/>
      <c r="DS134" s="6"/>
      <c r="DT134" s="6"/>
      <c r="DU134" s="6"/>
      <c r="DV134" s="6"/>
      <c r="DW134" s="6"/>
      <c r="DX134" s="6"/>
      <c r="DY134" s="6"/>
      <c r="DZ134" s="6"/>
      <c r="EA134" s="6"/>
      <c r="EB134" s="6"/>
      <c r="EC134" s="6"/>
      <c r="ED134" s="6"/>
      <c r="EE134" s="6"/>
      <c r="EF134" s="6"/>
      <c r="EG134" s="6"/>
      <c r="EH134" s="6"/>
      <c r="EI134" s="6"/>
      <c r="EJ134" s="6"/>
      <c r="EK134" s="6"/>
      <c r="EL134" s="6"/>
      <c r="EM134" s="6"/>
      <c r="EN134" s="6"/>
      <c r="EO134" s="6"/>
      <c r="EP134" s="6"/>
      <c r="EQ134" s="6"/>
      <c r="ER134" s="6"/>
      <c r="ES134" s="6"/>
      <c r="ET134" s="6"/>
      <c r="EU134" s="6"/>
      <c r="EV134" s="6"/>
      <c r="EW134" s="6"/>
      <c r="EX134" s="6"/>
      <c r="EY134" s="6"/>
      <c r="EZ134" s="6"/>
      <c r="FA134" s="6"/>
      <c r="FB134" s="6"/>
      <c r="FC134" s="6"/>
      <c r="FD134" s="6"/>
      <c r="FE134" s="6"/>
      <c r="FF134" s="6"/>
      <c r="FG134" s="6"/>
      <c r="FH134" s="6"/>
      <c r="FI134" s="6"/>
      <c r="FJ134" s="6"/>
      <c r="FK134" s="6"/>
      <c r="FL134" s="6"/>
      <c r="FM134" s="6"/>
      <c r="FN134" s="6"/>
      <c r="FO134" s="6"/>
      <c r="FP134" s="6"/>
      <c r="FQ134" s="6"/>
      <c r="FR134" s="6"/>
      <c r="FS134" s="6"/>
      <c r="FT134" s="6"/>
      <c r="FU134" s="6"/>
      <c r="FV134" s="6"/>
      <c r="FW134" s="6"/>
      <c r="FX134" s="6"/>
      <c r="FY134" s="6"/>
      <c r="FZ134" s="6"/>
      <c r="GA134" s="6"/>
      <c r="GB134" s="6"/>
      <c r="GC134" s="6"/>
      <c r="GD134" s="6"/>
      <c r="GE134" s="6"/>
      <c r="GF134" s="6"/>
      <c r="GG134" s="6"/>
      <c r="GH134" s="6"/>
      <c r="GI134" s="6"/>
      <c r="GJ134" s="6"/>
      <c r="GK134" s="6"/>
      <c r="GL134" s="6"/>
      <c r="GM134" s="6"/>
      <c r="GN134" s="6"/>
      <c r="GO134" s="6"/>
      <c r="GP134" s="6"/>
      <c r="GQ134" s="6"/>
      <c r="GR134" s="6"/>
      <c r="GS134" s="6"/>
      <c r="GT134" s="6"/>
      <c r="GU134" s="6"/>
      <c r="GV134" s="6"/>
      <c r="GW134" s="6"/>
      <c r="GX134" s="6"/>
      <c r="GY134" s="6"/>
      <c r="GZ134" s="6"/>
      <c r="HA134" s="6"/>
      <c r="HB134" s="6"/>
      <c r="HC134" s="6"/>
      <c r="HD134" s="6"/>
      <c r="HE134" s="6"/>
      <c r="HF134" s="6"/>
      <c r="HG134" s="6"/>
      <c r="HH134" s="6"/>
      <c r="HI134" s="6"/>
      <c r="HJ134" s="6"/>
      <c r="HK134" s="6"/>
      <c r="HL134" s="6"/>
      <c r="HM134" s="6"/>
      <c r="HN134" s="6"/>
      <c r="HO134" s="6"/>
      <c r="HP134" s="6"/>
      <c r="HQ134" s="6"/>
      <c r="HR134" s="6"/>
      <c r="HS134" s="6"/>
      <c r="HT134" s="6"/>
      <c r="HU134" s="6"/>
      <c r="HV134" s="6"/>
      <c r="HW134" s="6"/>
      <c r="HX134" s="6"/>
      <c r="HY134" s="6"/>
      <c r="HZ134" s="6"/>
      <c r="IA134" s="6"/>
      <c r="IB134" s="6"/>
      <c r="IC134" s="6"/>
      <c r="ID134" s="6"/>
      <c r="IE134" s="6"/>
      <c r="IF134" s="6"/>
      <c r="IG134" s="6"/>
      <c r="IH134" s="6"/>
      <c r="II134" s="6"/>
    </row>
    <row r="135" spans="1:243" s="2" customFormat="1" ht="15" customHeight="1">
      <c r="A135" s="92" t="s">
        <v>121</v>
      </c>
      <c r="B135" s="93"/>
      <c r="C135" s="93"/>
      <c r="D135" s="93"/>
      <c r="E135" s="27">
        <v>33</v>
      </c>
      <c r="F135" s="23">
        <f t="shared" si="26"/>
        <v>0</v>
      </c>
      <c r="G135" s="14">
        <v>140</v>
      </c>
      <c r="H135" s="43"/>
      <c r="I135" s="14">
        <f t="shared" si="27"/>
        <v>0</v>
      </c>
      <c r="J135" s="33"/>
      <c r="K135" s="30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6"/>
      <c r="BW135" s="6"/>
      <c r="BX135" s="6"/>
      <c r="BY135" s="6"/>
      <c r="BZ135" s="6"/>
      <c r="CA135" s="6"/>
      <c r="CB135" s="6"/>
      <c r="CC135" s="6"/>
      <c r="CD135" s="6"/>
      <c r="CE135" s="6"/>
      <c r="CF135" s="6"/>
      <c r="CG135" s="6"/>
      <c r="CH135" s="6"/>
      <c r="CI135" s="6"/>
      <c r="CJ135" s="6"/>
      <c r="CK135" s="6"/>
      <c r="CL135" s="6"/>
      <c r="CM135" s="6"/>
      <c r="CN135" s="6"/>
      <c r="CO135" s="6"/>
      <c r="CP135" s="6"/>
      <c r="CQ135" s="6"/>
      <c r="CR135" s="6"/>
      <c r="CS135" s="6"/>
      <c r="CT135" s="6"/>
      <c r="CU135" s="6"/>
      <c r="CV135" s="6"/>
      <c r="CW135" s="6"/>
      <c r="CX135" s="6"/>
      <c r="CY135" s="6"/>
      <c r="CZ135" s="6"/>
      <c r="DA135" s="6"/>
      <c r="DB135" s="6"/>
      <c r="DC135" s="6"/>
      <c r="DD135" s="6"/>
      <c r="DE135" s="6"/>
      <c r="DF135" s="6"/>
      <c r="DG135" s="6"/>
      <c r="DH135" s="6"/>
      <c r="DI135" s="6"/>
      <c r="DJ135" s="6"/>
      <c r="DK135" s="6"/>
      <c r="DL135" s="6"/>
      <c r="DM135" s="6"/>
      <c r="DN135" s="6"/>
      <c r="DO135" s="6"/>
      <c r="DP135" s="6"/>
      <c r="DQ135" s="6"/>
      <c r="DR135" s="6"/>
      <c r="DS135" s="6"/>
      <c r="DT135" s="6"/>
      <c r="DU135" s="6"/>
      <c r="DV135" s="6"/>
      <c r="DW135" s="6"/>
      <c r="DX135" s="6"/>
      <c r="DY135" s="6"/>
      <c r="DZ135" s="6"/>
      <c r="EA135" s="6"/>
      <c r="EB135" s="6"/>
      <c r="EC135" s="6"/>
      <c r="ED135" s="6"/>
      <c r="EE135" s="6"/>
      <c r="EF135" s="6"/>
      <c r="EG135" s="6"/>
      <c r="EH135" s="6"/>
      <c r="EI135" s="6"/>
      <c r="EJ135" s="6"/>
      <c r="EK135" s="6"/>
      <c r="EL135" s="6"/>
      <c r="EM135" s="6"/>
      <c r="EN135" s="6"/>
      <c r="EO135" s="6"/>
      <c r="EP135" s="6"/>
      <c r="EQ135" s="6"/>
      <c r="ER135" s="6"/>
      <c r="ES135" s="6"/>
      <c r="ET135" s="6"/>
      <c r="EU135" s="6"/>
      <c r="EV135" s="6"/>
      <c r="EW135" s="6"/>
      <c r="EX135" s="6"/>
      <c r="EY135" s="6"/>
      <c r="EZ135" s="6"/>
      <c r="FA135" s="6"/>
      <c r="FB135" s="6"/>
      <c r="FC135" s="6"/>
      <c r="FD135" s="6"/>
      <c r="FE135" s="6"/>
      <c r="FF135" s="6"/>
      <c r="FG135" s="6"/>
      <c r="FH135" s="6"/>
      <c r="FI135" s="6"/>
      <c r="FJ135" s="6"/>
      <c r="FK135" s="6"/>
      <c r="FL135" s="6"/>
      <c r="FM135" s="6"/>
      <c r="FN135" s="6"/>
      <c r="FO135" s="6"/>
      <c r="FP135" s="6"/>
      <c r="FQ135" s="6"/>
      <c r="FR135" s="6"/>
      <c r="FS135" s="6"/>
      <c r="FT135" s="6"/>
      <c r="FU135" s="6"/>
      <c r="FV135" s="6"/>
      <c r="FW135" s="6"/>
      <c r="FX135" s="6"/>
      <c r="FY135" s="6"/>
      <c r="FZ135" s="6"/>
      <c r="GA135" s="6"/>
      <c r="GB135" s="6"/>
      <c r="GC135" s="6"/>
      <c r="GD135" s="6"/>
      <c r="GE135" s="6"/>
      <c r="GF135" s="6"/>
      <c r="GG135" s="6"/>
      <c r="GH135" s="6"/>
      <c r="GI135" s="6"/>
      <c r="GJ135" s="6"/>
      <c r="GK135" s="6"/>
      <c r="GL135" s="6"/>
      <c r="GM135" s="6"/>
      <c r="GN135" s="6"/>
      <c r="GO135" s="6"/>
      <c r="GP135" s="6"/>
      <c r="GQ135" s="6"/>
      <c r="GR135" s="6"/>
      <c r="GS135" s="6"/>
      <c r="GT135" s="6"/>
      <c r="GU135" s="6"/>
      <c r="GV135" s="6"/>
      <c r="GW135" s="6"/>
      <c r="GX135" s="6"/>
      <c r="GY135" s="6"/>
      <c r="GZ135" s="6"/>
      <c r="HA135" s="6"/>
      <c r="HB135" s="6"/>
      <c r="HC135" s="6"/>
      <c r="HD135" s="6"/>
      <c r="HE135" s="6"/>
      <c r="HF135" s="6"/>
      <c r="HG135" s="6"/>
      <c r="HH135" s="6"/>
      <c r="HI135" s="6"/>
      <c r="HJ135" s="6"/>
      <c r="HK135" s="6"/>
      <c r="HL135" s="6"/>
      <c r="HM135" s="6"/>
      <c r="HN135" s="6"/>
      <c r="HO135" s="6"/>
      <c r="HP135" s="6"/>
      <c r="HQ135" s="6"/>
      <c r="HR135" s="6"/>
      <c r="HS135" s="6"/>
      <c r="HT135" s="6"/>
      <c r="HU135" s="6"/>
      <c r="HV135" s="6"/>
      <c r="HW135" s="6"/>
      <c r="HX135" s="6"/>
      <c r="HY135" s="6"/>
      <c r="HZ135" s="6"/>
      <c r="IA135" s="6"/>
      <c r="IB135" s="6"/>
      <c r="IC135" s="6"/>
      <c r="ID135" s="6"/>
      <c r="IE135" s="6"/>
      <c r="IF135" s="6"/>
      <c r="IG135" s="6"/>
      <c r="IH135" s="6"/>
      <c r="II135" s="6"/>
    </row>
    <row r="136" spans="1:243" s="2" customFormat="1" ht="15" customHeight="1">
      <c r="A136" s="159" t="s">
        <v>122</v>
      </c>
      <c r="B136" s="160"/>
      <c r="C136" s="160"/>
      <c r="D136" s="160"/>
      <c r="E136" s="26">
        <v>117</v>
      </c>
      <c r="F136" s="23">
        <f t="shared" ref="F136" si="28">E136*H136/$D$10</f>
        <v>0</v>
      </c>
      <c r="G136" s="23">
        <v>220</v>
      </c>
      <c r="H136" s="25"/>
      <c r="I136" s="23">
        <f t="shared" ref="I136" si="29">G136*H136</f>
        <v>0</v>
      </c>
      <c r="J136" s="23"/>
      <c r="K136" s="30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  <c r="BU136" s="6"/>
      <c r="BV136" s="6"/>
      <c r="BW136" s="6"/>
      <c r="BX136" s="6"/>
      <c r="BY136" s="6"/>
      <c r="BZ136" s="6"/>
      <c r="CA136" s="6"/>
      <c r="CB136" s="6"/>
      <c r="CC136" s="6"/>
      <c r="CD136" s="6"/>
      <c r="CE136" s="6"/>
      <c r="CF136" s="6"/>
      <c r="CG136" s="6"/>
      <c r="CH136" s="6"/>
      <c r="CI136" s="6"/>
      <c r="CJ136" s="6"/>
      <c r="CK136" s="6"/>
      <c r="CL136" s="6"/>
      <c r="CM136" s="6"/>
      <c r="CN136" s="6"/>
      <c r="CO136" s="6"/>
      <c r="CP136" s="6"/>
      <c r="CQ136" s="6"/>
      <c r="CR136" s="6"/>
      <c r="CS136" s="6"/>
      <c r="CT136" s="6"/>
      <c r="CU136" s="6"/>
      <c r="CV136" s="6"/>
      <c r="CW136" s="6"/>
      <c r="CX136" s="6"/>
      <c r="CY136" s="6"/>
      <c r="CZ136" s="6"/>
      <c r="DA136" s="6"/>
      <c r="DB136" s="6"/>
      <c r="DC136" s="6"/>
      <c r="DD136" s="6"/>
      <c r="DE136" s="6"/>
      <c r="DF136" s="6"/>
      <c r="DG136" s="6"/>
      <c r="DH136" s="6"/>
      <c r="DI136" s="6"/>
      <c r="DJ136" s="6"/>
      <c r="DK136" s="6"/>
      <c r="DL136" s="6"/>
      <c r="DM136" s="6"/>
      <c r="DN136" s="6"/>
      <c r="DO136" s="6"/>
      <c r="DP136" s="6"/>
      <c r="DQ136" s="6"/>
      <c r="DR136" s="6"/>
      <c r="DS136" s="6"/>
      <c r="DT136" s="6"/>
      <c r="DU136" s="6"/>
      <c r="DV136" s="6"/>
      <c r="DW136" s="6"/>
      <c r="DX136" s="6"/>
      <c r="DY136" s="6"/>
      <c r="DZ136" s="6"/>
      <c r="EA136" s="6"/>
      <c r="EB136" s="6"/>
      <c r="EC136" s="6"/>
      <c r="ED136" s="6"/>
      <c r="EE136" s="6"/>
      <c r="EF136" s="6"/>
      <c r="EG136" s="6"/>
      <c r="EH136" s="6"/>
      <c r="EI136" s="6"/>
      <c r="EJ136" s="6"/>
      <c r="EK136" s="6"/>
      <c r="EL136" s="6"/>
      <c r="EM136" s="6"/>
      <c r="EN136" s="6"/>
      <c r="EO136" s="6"/>
      <c r="EP136" s="6"/>
      <c r="EQ136" s="6"/>
      <c r="ER136" s="6"/>
      <c r="ES136" s="6"/>
      <c r="ET136" s="6"/>
      <c r="EU136" s="6"/>
      <c r="EV136" s="6"/>
      <c r="EW136" s="6"/>
      <c r="EX136" s="6"/>
      <c r="EY136" s="6"/>
      <c r="EZ136" s="6"/>
      <c r="FA136" s="6"/>
      <c r="FB136" s="6"/>
      <c r="FC136" s="6"/>
      <c r="FD136" s="6"/>
      <c r="FE136" s="6"/>
      <c r="FF136" s="6"/>
      <c r="FG136" s="6"/>
      <c r="FH136" s="6"/>
      <c r="FI136" s="6"/>
      <c r="FJ136" s="6"/>
      <c r="FK136" s="6"/>
      <c r="FL136" s="6"/>
      <c r="FM136" s="6"/>
      <c r="FN136" s="6"/>
      <c r="FO136" s="6"/>
      <c r="FP136" s="6"/>
      <c r="FQ136" s="6"/>
      <c r="FR136" s="6"/>
      <c r="FS136" s="6"/>
      <c r="FT136" s="6"/>
      <c r="FU136" s="6"/>
      <c r="FV136" s="6"/>
      <c r="FW136" s="6"/>
      <c r="FX136" s="6"/>
      <c r="FY136" s="6"/>
      <c r="FZ136" s="6"/>
      <c r="GA136" s="6"/>
      <c r="GB136" s="6"/>
      <c r="GC136" s="6"/>
      <c r="GD136" s="6"/>
      <c r="GE136" s="6"/>
      <c r="GF136" s="6"/>
      <c r="GG136" s="6"/>
      <c r="GH136" s="6"/>
      <c r="GI136" s="6"/>
      <c r="GJ136" s="6"/>
      <c r="GK136" s="6"/>
      <c r="GL136" s="6"/>
      <c r="GM136" s="6"/>
      <c r="GN136" s="6"/>
      <c r="GO136" s="6"/>
      <c r="GP136" s="6"/>
      <c r="GQ136" s="6"/>
      <c r="GR136" s="6"/>
      <c r="GS136" s="6"/>
      <c r="GT136" s="6"/>
      <c r="GU136" s="6"/>
      <c r="GV136" s="6"/>
      <c r="GW136" s="6"/>
      <c r="GX136" s="6"/>
      <c r="GY136" s="6"/>
      <c r="GZ136" s="6"/>
      <c r="HA136" s="6"/>
      <c r="HB136" s="6"/>
      <c r="HC136" s="6"/>
      <c r="HD136" s="6"/>
      <c r="HE136" s="6"/>
      <c r="HF136" s="6"/>
      <c r="HG136" s="6"/>
      <c r="HH136" s="6"/>
      <c r="HI136" s="6"/>
      <c r="HJ136" s="6"/>
      <c r="HK136" s="6"/>
      <c r="HL136" s="6"/>
      <c r="HM136" s="6"/>
      <c r="HN136" s="6"/>
      <c r="HO136" s="6"/>
      <c r="HP136" s="6"/>
      <c r="HQ136" s="6"/>
      <c r="HR136" s="6"/>
      <c r="HS136" s="6"/>
      <c r="HT136" s="6"/>
      <c r="HU136" s="6"/>
      <c r="HV136" s="6"/>
      <c r="HW136" s="6"/>
      <c r="HX136" s="6"/>
      <c r="HY136" s="6"/>
      <c r="HZ136" s="6"/>
      <c r="IA136" s="6"/>
      <c r="IB136" s="6"/>
      <c r="IC136" s="6"/>
      <c r="ID136" s="6"/>
      <c r="IE136" s="6"/>
      <c r="IF136" s="6"/>
      <c r="IG136" s="6"/>
      <c r="IH136" s="6"/>
      <c r="II136" s="6"/>
    </row>
    <row r="137" spans="1:243" ht="15" customHeight="1">
      <c r="A137" s="108" t="s">
        <v>289</v>
      </c>
      <c r="B137" s="109"/>
      <c r="C137" s="109"/>
      <c r="D137" s="109"/>
      <c r="E137" s="109"/>
      <c r="F137" s="109"/>
      <c r="G137" s="109"/>
      <c r="H137" s="109"/>
      <c r="I137" s="109"/>
      <c r="J137" s="109"/>
      <c r="K137" s="30"/>
    </row>
    <row r="138" spans="1:243" ht="24.9" customHeight="1">
      <c r="A138" s="103" t="s">
        <v>18</v>
      </c>
      <c r="B138" s="104"/>
      <c r="C138" s="104"/>
      <c r="D138" s="104"/>
      <c r="E138" s="81" t="s">
        <v>19</v>
      </c>
      <c r="F138" s="81" t="s">
        <v>20</v>
      </c>
      <c r="G138" s="81" t="s">
        <v>21</v>
      </c>
      <c r="H138" s="81" t="s">
        <v>22</v>
      </c>
      <c r="I138" s="81" t="s">
        <v>23</v>
      </c>
      <c r="J138" s="81"/>
      <c r="K138" s="30"/>
    </row>
    <row r="139" spans="1:243" s="2" customFormat="1" ht="15" customHeight="1">
      <c r="A139" s="166" t="s">
        <v>290</v>
      </c>
      <c r="B139" s="167"/>
      <c r="C139" s="167"/>
      <c r="D139" s="167"/>
      <c r="E139" s="84">
        <v>85</v>
      </c>
      <c r="F139" s="85">
        <f t="shared" ref="F139:F142" si="30">E139*H139/$D$10</f>
        <v>0</v>
      </c>
      <c r="G139" s="85">
        <v>220</v>
      </c>
      <c r="H139" s="86"/>
      <c r="I139" s="85">
        <f t="shared" ref="I139:I142" si="31">G139*H139</f>
        <v>0</v>
      </c>
      <c r="J139" s="85"/>
      <c r="K139" s="30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  <c r="BU139" s="6"/>
      <c r="BV139" s="6"/>
      <c r="BW139" s="6"/>
      <c r="BX139" s="6"/>
      <c r="BY139" s="6"/>
      <c r="BZ139" s="6"/>
      <c r="CA139" s="6"/>
      <c r="CB139" s="6"/>
      <c r="CC139" s="6"/>
      <c r="CD139" s="6"/>
      <c r="CE139" s="6"/>
      <c r="CF139" s="6"/>
      <c r="CG139" s="6"/>
      <c r="CH139" s="6"/>
      <c r="CI139" s="6"/>
      <c r="CJ139" s="6"/>
      <c r="CK139" s="6"/>
      <c r="CL139" s="6"/>
      <c r="CM139" s="6"/>
      <c r="CN139" s="6"/>
      <c r="CO139" s="6"/>
      <c r="CP139" s="6"/>
      <c r="CQ139" s="6"/>
      <c r="CR139" s="6"/>
      <c r="CS139" s="6"/>
      <c r="CT139" s="6"/>
      <c r="CU139" s="6"/>
      <c r="CV139" s="6"/>
      <c r="CW139" s="6"/>
      <c r="CX139" s="6"/>
      <c r="CY139" s="6"/>
      <c r="CZ139" s="6"/>
      <c r="DA139" s="6"/>
      <c r="DB139" s="6"/>
      <c r="DC139" s="6"/>
      <c r="DD139" s="6"/>
      <c r="DE139" s="6"/>
      <c r="DF139" s="6"/>
      <c r="DG139" s="6"/>
      <c r="DH139" s="6"/>
      <c r="DI139" s="6"/>
      <c r="DJ139" s="6"/>
      <c r="DK139" s="6"/>
      <c r="DL139" s="6"/>
      <c r="DM139" s="6"/>
      <c r="DN139" s="6"/>
      <c r="DO139" s="6"/>
      <c r="DP139" s="6"/>
      <c r="DQ139" s="6"/>
      <c r="DR139" s="6"/>
      <c r="DS139" s="6"/>
      <c r="DT139" s="6"/>
      <c r="DU139" s="6"/>
      <c r="DV139" s="6"/>
      <c r="DW139" s="6"/>
      <c r="DX139" s="6"/>
      <c r="DY139" s="6"/>
      <c r="DZ139" s="6"/>
      <c r="EA139" s="6"/>
      <c r="EB139" s="6"/>
      <c r="EC139" s="6"/>
      <c r="ED139" s="6"/>
      <c r="EE139" s="6"/>
      <c r="EF139" s="6"/>
      <c r="EG139" s="6"/>
      <c r="EH139" s="6"/>
      <c r="EI139" s="6"/>
      <c r="EJ139" s="6"/>
      <c r="EK139" s="6"/>
      <c r="EL139" s="6"/>
      <c r="EM139" s="6"/>
      <c r="EN139" s="6"/>
      <c r="EO139" s="6"/>
      <c r="EP139" s="6"/>
      <c r="EQ139" s="6"/>
      <c r="ER139" s="6"/>
      <c r="ES139" s="6"/>
      <c r="ET139" s="6"/>
      <c r="EU139" s="6"/>
      <c r="EV139" s="6"/>
      <c r="EW139" s="6"/>
      <c r="EX139" s="6"/>
      <c r="EY139" s="6"/>
      <c r="EZ139" s="6"/>
      <c r="FA139" s="6"/>
      <c r="FB139" s="6"/>
      <c r="FC139" s="6"/>
      <c r="FD139" s="6"/>
      <c r="FE139" s="6"/>
      <c r="FF139" s="6"/>
      <c r="FG139" s="6"/>
      <c r="FH139" s="6"/>
      <c r="FI139" s="6"/>
      <c r="FJ139" s="6"/>
      <c r="FK139" s="6"/>
      <c r="FL139" s="6"/>
      <c r="FM139" s="6"/>
      <c r="FN139" s="6"/>
      <c r="FO139" s="6"/>
      <c r="FP139" s="6"/>
      <c r="FQ139" s="6"/>
      <c r="FR139" s="6"/>
      <c r="FS139" s="6"/>
      <c r="FT139" s="6"/>
      <c r="FU139" s="6"/>
      <c r="FV139" s="6"/>
      <c r="FW139" s="6"/>
      <c r="FX139" s="6"/>
      <c r="FY139" s="6"/>
      <c r="FZ139" s="6"/>
      <c r="GA139" s="6"/>
      <c r="GB139" s="6"/>
      <c r="GC139" s="6"/>
      <c r="GD139" s="6"/>
      <c r="GE139" s="6"/>
      <c r="GF139" s="6"/>
      <c r="GG139" s="6"/>
      <c r="GH139" s="6"/>
      <c r="GI139" s="6"/>
      <c r="GJ139" s="6"/>
      <c r="GK139" s="6"/>
      <c r="GL139" s="6"/>
      <c r="GM139" s="6"/>
      <c r="GN139" s="6"/>
      <c r="GO139" s="6"/>
      <c r="GP139" s="6"/>
      <c r="GQ139" s="6"/>
      <c r="GR139" s="6"/>
      <c r="GS139" s="6"/>
      <c r="GT139" s="6"/>
      <c r="GU139" s="6"/>
      <c r="GV139" s="6"/>
      <c r="GW139" s="6"/>
      <c r="GX139" s="6"/>
      <c r="GY139" s="6"/>
      <c r="GZ139" s="6"/>
      <c r="HA139" s="6"/>
      <c r="HB139" s="6"/>
      <c r="HC139" s="6"/>
      <c r="HD139" s="6"/>
      <c r="HE139" s="6"/>
      <c r="HF139" s="6"/>
      <c r="HG139" s="6"/>
      <c r="HH139" s="6"/>
      <c r="HI139" s="6"/>
      <c r="HJ139" s="6"/>
      <c r="HK139" s="6"/>
      <c r="HL139" s="6"/>
      <c r="HM139" s="6"/>
      <c r="HN139" s="6"/>
      <c r="HO139" s="6"/>
      <c r="HP139" s="6"/>
      <c r="HQ139" s="6"/>
      <c r="HR139" s="6"/>
      <c r="HS139" s="6"/>
      <c r="HT139" s="6"/>
      <c r="HU139" s="6"/>
      <c r="HV139" s="6"/>
      <c r="HW139" s="6"/>
      <c r="HX139" s="6"/>
      <c r="HY139" s="6"/>
      <c r="HZ139" s="6"/>
      <c r="IA139" s="6"/>
      <c r="IB139" s="6"/>
      <c r="IC139" s="6"/>
      <c r="ID139" s="6"/>
      <c r="IE139" s="6"/>
      <c r="IF139" s="6"/>
      <c r="IG139" s="6"/>
      <c r="IH139" s="6"/>
      <c r="II139" s="6"/>
    </row>
    <row r="140" spans="1:243" s="2" customFormat="1" ht="15" customHeight="1">
      <c r="A140" s="113" t="s">
        <v>295</v>
      </c>
      <c r="B140" s="114"/>
      <c r="C140" s="114"/>
      <c r="D140" s="115"/>
      <c r="E140" s="84">
        <v>50</v>
      </c>
      <c r="F140" s="85">
        <f t="shared" si="30"/>
        <v>0</v>
      </c>
      <c r="G140" s="85">
        <v>160</v>
      </c>
      <c r="H140" s="86"/>
      <c r="I140" s="85">
        <f t="shared" si="31"/>
        <v>0</v>
      </c>
      <c r="J140" s="85"/>
      <c r="K140" s="30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6"/>
      <c r="BU140" s="6"/>
      <c r="BV140" s="6"/>
      <c r="BW140" s="6"/>
      <c r="BX140" s="6"/>
      <c r="BY140" s="6"/>
      <c r="BZ140" s="6"/>
      <c r="CA140" s="6"/>
      <c r="CB140" s="6"/>
      <c r="CC140" s="6"/>
      <c r="CD140" s="6"/>
      <c r="CE140" s="6"/>
      <c r="CF140" s="6"/>
      <c r="CG140" s="6"/>
      <c r="CH140" s="6"/>
      <c r="CI140" s="6"/>
      <c r="CJ140" s="6"/>
      <c r="CK140" s="6"/>
      <c r="CL140" s="6"/>
      <c r="CM140" s="6"/>
      <c r="CN140" s="6"/>
      <c r="CO140" s="6"/>
      <c r="CP140" s="6"/>
      <c r="CQ140" s="6"/>
      <c r="CR140" s="6"/>
      <c r="CS140" s="6"/>
      <c r="CT140" s="6"/>
      <c r="CU140" s="6"/>
      <c r="CV140" s="6"/>
      <c r="CW140" s="6"/>
      <c r="CX140" s="6"/>
      <c r="CY140" s="6"/>
      <c r="CZ140" s="6"/>
      <c r="DA140" s="6"/>
      <c r="DB140" s="6"/>
      <c r="DC140" s="6"/>
      <c r="DD140" s="6"/>
      <c r="DE140" s="6"/>
      <c r="DF140" s="6"/>
      <c r="DG140" s="6"/>
      <c r="DH140" s="6"/>
      <c r="DI140" s="6"/>
      <c r="DJ140" s="6"/>
      <c r="DK140" s="6"/>
      <c r="DL140" s="6"/>
      <c r="DM140" s="6"/>
      <c r="DN140" s="6"/>
      <c r="DO140" s="6"/>
      <c r="DP140" s="6"/>
      <c r="DQ140" s="6"/>
      <c r="DR140" s="6"/>
      <c r="DS140" s="6"/>
      <c r="DT140" s="6"/>
      <c r="DU140" s="6"/>
      <c r="DV140" s="6"/>
      <c r="DW140" s="6"/>
      <c r="DX140" s="6"/>
      <c r="DY140" s="6"/>
      <c r="DZ140" s="6"/>
      <c r="EA140" s="6"/>
      <c r="EB140" s="6"/>
      <c r="EC140" s="6"/>
      <c r="ED140" s="6"/>
      <c r="EE140" s="6"/>
      <c r="EF140" s="6"/>
      <c r="EG140" s="6"/>
      <c r="EH140" s="6"/>
      <c r="EI140" s="6"/>
      <c r="EJ140" s="6"/>
      <c r="EK140" s="6"/>
      <c r="EL140" s="6"/>
      <c r="EM140" s="6"/>
      <c r="EN140" s="6"/>
      <c r="EO140" s="6"/>
      <c r="EP140" s="6"/>
      <c r="EQ140" s="6"/>
      <c r="ER140" s="6"/>
      <c r="ES140" s="6"/>
      <c r="ET140" s="6"/>
      <c r="EU140" s="6"/>
      <c r="EV140" s="6"/>
      <c r="EW140" s="6"/>
      <c r="EX140" s="6"/>
      <c r="EY140" s="6"/>
      <c r="EZ140" s="6"/>
      <c r="FA140" s="6"/>
      <c r="FB140" s="6"/>
      <c r="FC140" s="6"/>
      <c r="FD140" s="6"/>
      <c r="FE140" s="6"/>
      <c r="FF140" s="6"/>
      <c r="FG140" s="6"/>
      <c r="FH140" s="6"/>
      <c r="FI140" s="6"/>
      <c r="FJ140" s="6"/>
      <c r="FK140" s="6"/>
      <c r="FL140" s="6"/>
      <c r="FM140" s="6"/>
      <c r="FN140" s="6"/>
      <c r="FO140" s="6"/>
      <c r="FP140" s="6"/>
      <c r="FQ140" s="6"/>
      <c r="FR140" s="6"/>
      <c r="FS140" s="6"/>
      <c r="FT140" s="6"/>
      <c r="FU140" s="6"/>
      <c r="FV140" s="6"/>
      <c r="FW140" s="6"/>
      <c r="FX140" s="6"/>
      <c r="FY140" s="6"/>
      <c r="FZ140" s="6"/>
      <c r="GA140" s="6"/>
      <c r="GB140" s="6"/>
      <c r="GC140" s="6"/>
      <c r="GD140" s="6"/>
      <c r="GE140" s="6"/>
      <c r="GF140" s="6"/>
      <c r="GG140" s="6"/>
      <c r="GH140" s="6"/>
      <c r="GI140" s="6"/>
      <c r="GJ140" s="6"/>
      <c r="GK140" s="6"/>
      <c r="GL140" s="6"/>
      <c r="GM140" s="6"/>
      <c r="GN140" s="6"/>
      <c r="GO140" s="6"/>
      <c r="GP140" s="6"/>
      <c r="GQ140" s="6"/>
      <c r="GR140" s="6"/>
      <c r="GS140" s="6"/>
      <c r="GT140" s="6"/>
      <c r="GU140" s="6"/>
      <c r="GV140" s="6"/>
      <c r="GW140" s="6"/>
      <c r="GX140" s="6"/>
      <c r="GY140" s="6"/>
      <c r="GZ140" s="6"/>
      <c r="HA140" s="6"/>
      <c r="HB140" s="6"/>
      <c r="HC140" s="6"/>
      <c r="HD140" s="6"/>
      <c r="HE140" s="6"/>
      <c r="HF140" s="6"/>
      <c r="HG140" s="6"/>
      <c r="HH140" s="6"/>
      <c r="HI140" s="6"/>
      <c r="HJ140" s="6"/>
      <c r="HK140" s="6"/>
      <c r="HL140" s="6"/>
      <c r="HM140" s="6"/>
      <c r="HN140" s="6"/>
      <c r="HO140" s="6"/>
      <c r="HP140" s="6"/>
      <c r="HQ140" s="6"/>
      <c r="HR140" s="6"/>
      <c r="HS140" s="6"/>
      <c r="HT140" s="6"/>
      <c r="HU140" s="6"/>
      <c r="HV140" s="6"/>
      <c r="HW140" s="6"/>
      <c r="HX140" s="6"/>
      <c r="HY140" s="6"/>
      <c r="HZ140" s="6"/>
      <c r="IA140" s="6"/>
      <c r="IB140" s="6"/>
      <c r="IC140" s="6"/>
      <c r="ID140" s="6"/>
      <c r="IE140" s="6"/>
      <c r="IF140" s="6"/>
      <c r="IG140" s="6"/>
      <c r="IH140" s="6"/>
      <c r="II140" s="6"/>
    </row>
    <row r="141" spans="1:243" s="2" customFormat="1" ht="22.8" customHeight="1">
      <c r="A141" s="113" t="s">
        <v>296</v>
      </c>
      <c r="B141" s="114"/>
      <c r="C141" s="114"/>
      <c r="D141" s="115"/>
      <c r="E141" s="84">
        <v>130</v>
      </c>
      <c r="F141" s="85">
        <f t="shared" si="30"/>
        <v>0</v>
      </c>
      <c r="G141" s="85">
        <v>230</v>
      </c>
      <c r="H141" s="86"/>
      <c r="I141" s="85">
        <f t="shared" si="31"/>
        <v>0</v>
      </c>
      <c r="J141" s="85"/>
      <c r="K141" s="30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  <c r="BU141" s="6"/>
      <c r="BV141" s="6"/>
      <c r="BW141" s="6"/>
      <c r="BX141" s="6"/>
      <c r="BY141" s="6"/>
      <c r="BZ141" s="6"/>
      <c r="CA141" s="6"/>
      <c r="CB141" s="6"/>
      <c r="CC141" s="6"/>
      <c r="CD141" s="6"/>
      <c r="CE141" s="6"/>
      <c r="CF141" s="6"/>
      <c r="CG141" s="6"/>
      <c r="CH141" s="6"/>
      <c r="CI141" s="6"/>
      <c r="CJ141" s="6"/>
      <c r="CK141" s="6"/>
      <c r="CL141" s="6"/>
      <c r="CM141" s="6"/>
      <c r="CN141" s="6"/>
      <c r="CO141" s="6"/>
      <c r="CP141" s="6"/>
      <c r="CQ141" s="6"/>
      <c r="CR141" s="6"/>
      <c r="CS141" s="6"/>
      <c r="CT141" s="6"/>
      <c r="CU141" s="6"/>
      <c r="CV141" s="6"/>
      <c r="CW141" s="6"/>
      <c r="CX141" s="6"/>
      <c r="CY141" s="6"/>
      <c r="CZ141" s="6"/>
      <c r="DA141" s="6"/>
      <c r="DB141" s="6"/>
      <c r="DC141" s="6"/>
      <c r="DD141" s="6"/>
      <c r="DE141" s="6"/>
      <c r="DF141" s="6"/>
      <c r="DG141" s="6"/>
      <c r="DH141" s="6"/>
      <c r="DI141" s="6"/>
      <c r="DJ141" s="6"/>
      <c r="DK141" s="6"/>
      <c r="DL141" s="6"/>
      <c r="DM141" s="6"/>
      <c r="DN141" s="6"/>
      <c r="DO141" s="6"/>
      <c r="DP141" s="6"/>
      <c r="DQ141" s="6"/>
      <c r="DR141" s="6"/>
      <c r="DS141" s="6"/>
      <c r="DT141" s="6"/>
      <c r="DU141" s="6"/>
      <c r="DV141" s="6"/>
      <c r="DW141" s="6"/>
      <c r="DX141" s="6"/>
      <c r="DY141" s="6"/>
      <c r="DZ141" s="6"/>
      <c r="EA141" s="6"/>
      <c r="EB141" s="6"/>
      <c r="EC141" s="6"/>
      <c r="ED141" s="6"/>
      <c r="EE141" s="6"/>
      <c r="EF141" s="6"/>
      <c r="EG141" s="6"/>
      <c r="EH141" s="6"/>
      <c r="EI141" s="6"/>
      <c r="EJ141" s="6"/>
      <c r="EK141" s="6"/>
      <c r="EL141" s="6"/>
      <c r="EM141" s="6"/>
      <c r="EN141" s="6"/>
      <c r="EO141" s="6"/>
      <c r="EP141" s="6"/>
      <c r="EQ141" s="6"/>
      <c r="ER141" s="6"/>
      <c r="ES141" s="6"/>
      <c r="ET141" s="6"/>
      <c r="EU141" s="6"/>
      <c r="EV141" s="6"/>
      <c r="EW141" s="6"/>
      <c r="EX141" s="6"/>
      <c r="EY141" s="6"/>
      <c r="EZ141" s="6"/>
      <c r="FA141" s="6"/>
      <c r="FB141" s="6"/>
      <c r="FC141" s="6"/>
      <c r="FD141" s="6"/>
      <c r="FE141" s="6"/>
      <c r="FF141" s="6"/>
      <c r="FG141" s="6"/>
      <c r="FH141" s="6"/>
      <c r="FI141" s="6"/>
      <c r="FJ141" s="6"/>
      <c r="FK141" s="6"/>
      <c r="FL141" s="6"/>
      <c r="FM141" s="6"/>
      <c r="FN141" s="6"/>
      <c r="FO141" s="6"/>
      <c r="FP141" s="6"/>
      <c r="FQ141" s="6"/>
      <c r="FR141" s="6"/>
      <c r="FS141" s="6"/>
      <c r="FT141" s="6"/>
      <c r="FU141" s="6"/>
      <c r="FV141" s="6"/>
      <c r="FW141" s="6"/>
      <c r="FX141" s="6"/>
      <c r="FY141" s="6"/>
      <c r="FZ141" s="6"/>
      <c r="GA141" s="6"/>
      <c r="GB141" s="6"/>
      <c r="GC141" s="6"/>
      <c r="GD141" s="6"/>
      <c r="GE141" s="6"/>
      <c r="GF141" s="6"/>
      <c r="GG141" s="6"/>
      <c r="GH141" s="6"/>
      <c r="GI141" s="6"/>
      <c r="GJ141" s="6"/>
      <c r="GK141" s="6"/>
      <c r="GL141" s="6"/>
      <c r="GM141" s="6"/>
      <c r="GN141" s="6"/>
      <c r="GO141" s="6"/>
      <c r="GP141" s="6"/>
      <c r="GQ141" s="6"/>
      <c r="GR141" s="6"/>
      <c r="GS141" s="6"/>
      <c r="GT141" s="6"/>
      <c r="GU141" s="6"/>
      <c r="GV141" s="6"/>
      <c r="GW141" s="6"/>
      <c r="GX141" s="6"/>
      <c r="GY141" s="6"/>
      <c r="GZ141" s="6"/>
      <c r="HA141" s="6"/>
      <c r="HB141" s="6"/>
      <c r="HC141" s="6"/>
      <c r="HD141" s="6"/>
      <c r="HE141" s="6"/>
      <c r="HF141" s="6"/>
      <c r="HG141" s="6"/>
      <c r="HH141" s="6"/>
      <c r="HI141" s="6"/>
      <c r="HJ141" s="6"/>
      <c r="HK141" s="6"/>
      <c r="HL141" s="6"/>
      <c r="HM141" s="6"/>
      <c r="HN141" s="6"/>
      <c r="HO141" s="6"/>
      <c r="HP141" s="6"/>
      <c r="HQ141" s="6"/>
      <c r="HR141" s="6"/>
      <c r="HS141" s="6"/>
      <c r="HT141" s="6"/>
      <c r="HU141" s="6"/>
      <c r="HV141" s="6"/>
      <c r="HW141" s="6"/>
      <c r="HX141" s="6"/>
      <c r="HY141" s="6"/>
      <c r="HZ141" s="6"/>
      <c r="IA141" s="6"/>
      <c r="IB141" s="6"/>
      <c r="IC141" s="6"/>
      <c r="ID141" s="6"/>
      <c r="IE141" s="6"/>
      <c r="IF141" s="6"/>
      <c r="IG141" s="6"/>
      <c r="IH141" s="6"/>
      <c r="II141" s="6"/>
    </row>
    <row r="142" spans="1:243" s="2" customFormat="1" ht="22.8" customHeight="1">
      <c r="A142" s="113" t="s">
        <v>297</v>
      </c>
      <c r="B142" s="114"/>
      <c r="C142" s="114"/>
      <c r="D142" s="115"/>
      <c r="E142" s="84">
        <v>95</v>
      </c>
      <c r="F142" s="85">
        <f t="shared" si="30"/>
        <v>0</v>
      </c>
      <c r="G142" s="85">
        <v>260</v>
      </c>
      <c r="H142" s="86"/>
      <c r="I142" s="85">
        <f t="shared" si="31"/>
        <v>0</v>
      </c>
      <c r="J142" s="85"/>
      <c r="K142" s="30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  <c r="BU142" s="6"/>
      <c r="BV142" s="6"/>
      <c r="BW142" s="6"/>
      <c r="BX142" s="6"/>
      <c r="BY142" s="6"/>
      <c r="BZ142" s="6"/>
      <c r="CA142" s="6"/>
      <c r="CB142" s="6"/>
      <c r="CC142" s="6"/>
      <c r="CD142" s="6"/>
      <c r="CE142" s="6"/>
      <c r="CF142" s="6"/>
      <c r="CG142" s="6"/>
      <c r="CH142" s="6"/>
      <c r="CI142" s="6"/>
      <c r="CJ142" s="6"/>
      <c r="CK142" s="6"/>
      <c r="CL142" s="6"/>
      <c r="CM142" s="6"/>
      <c r="CN142" s="6"/>
      <c r="CO142" s="6"/>
      <c r="CP142" s="6"/>
      <c r="CQ142" s="6"/>
      <c r="CR142" s="6"/>
      <c r="CS142" s="6"/>
      <c r="CT142" s="6"/>
      <c r="CU142" s="6"/>
      <c r="CV142" s="6"/>
      <c r="CW142" s="6"/>
      <c r="CX142" s="6"/>
      <c r="CY142" s="6"/>
      <c r="CZ142" s="6"/>
      <c r="DA142" s="6"/>
      <c r="DB142" s="6"/>
      <c r="DC142" s="6"/>
      <c r="DD142" s="6"/>
      <c r="DE142" s="6"/>
      <c r="DF142" s="6"/>
      <c r="DG142" s="6"/>
      <c r="DH142" s="6"/>
      <c r="DI142" s="6"/>
      <c r="DJ142" s="6"/>
      <c r="DK142" s="6"/>
      <c r="DL142" s="6"/>
      <c r="DM142" s="6"/>
      <c r="DN142" s="6"/>
      <c r="DO142" s="6"/>
      <c r="DP142" s="6"/>
      <c r="DQ142" s="6"/>
      <c r="DR142" s="6"/>
      <c r="DS142" s="6"/>
      <c r="DT142" s="6"/>
      <c r="DU142" s="6"/>
      <c r="DV142" s="6"/>
      <c r="DW142" s="6"/>
      <c r="DX142" s="6"/>
      <c r="DY142" s="6"/>
      <c r="DZ142" s="6"/>
      <c r="EA142" s="6"/>
      <c r="EB142" s="6"/>
      <c r="EC142" s="6"/>
      <c r="ED142" s="6"/>
      <c r="EE142" s="6"/>
      <c r="EF142" s="6"/>
      <c r="EG142" s="6"/>
      <c r="EH142" s="6"/>
      <c r="EI142" s="6"/>
      <c r="EJ142" s="6"/>
      <c r="EK142" s="6"/>
      <c r="EL142" s="6"/>
      <c r="EM142" s="6"/>
      <c r="EN142" s="6"/>
      <c r="EO142" s="6"/>
      <c r="EP142" s="6"/>
      <c r="EQ142" s="6"/>
      <c r="ER142" s="6"/>
      <c r="ES142" s="6"/>
      <c r="ET142" s="6"/>
      <c r="EU142" s="6"/>
      <c r="EV142" s="6"/>
      <c r="EW142" s="6"/>
      <c r="EX142" s="6"/>
      <c r="EY142" s="6"/>
      <c r="EZ142" s="6"/>
      <c r="FA142" s="6"/>
      <c r="FB142" s="6"/>
      <c r="FC142" s="6"/>
      <c r="FD142" s="6"/>
      <c r="FE142" s="6"/>
      <c r="FF142" s="6"/>
      <c r="FG142" s="6"/>
      <c r="FH142" s="6"/>
      <c r="FI142" s="6"/>
      <c r="FJ142" s="6"/>
      <c r="FK142" s="6"/>
      <c r="FL142" s="6"/>
      <c r="FM142" s="6"/>
      <c r="FN142" s="6"/>
      <c r="FO142" s="6"/>
      <c r="FP142" s="6"/>
      <c r="FQ142" s="6"/>
      <c r="FR142" s="6"/>
      <c r="FS142" s="6"/>
      <c r="FT142" s="6"/>
      <c r="FU142" s="6"/>
      <c r="FV142" s="6"/>
      <c r="FW142" s="6"/>
      <c r="FX142" s="6"/>
      <c r="FY142" s="6"/>
      <c r="FZ142" s="6"/>
      <c r="GA142" s="6"/>
      <c r="GB142" s="6"/>
      <c r="GC142" s="6"/>
      <c r="GD142" s="6"/>
      <c r="GE142" s="6"/>
      <c r="GF142" s="6"/>
      <c r="GG142" s="6"/>
      <c r="GH142" s="6"/>
      <c r="GI142" s="6"/>
      <c r="GJ142" s="6"/>
      <c r="GK142" s="6"/>
      <c r="GL142" s="6"/>
      <c r="GM142" s="6"/>
      <c r="GN142" s="6"/>
      <c r="GO142" s="6"/>
      <c r="GP142" s="6"/>
      <c r="GQ142" s="6"/>
      <c r="GR142" s="6"/>
      <c r="GS142" s="6"/>
      <c r="GT142" s="6"/>
      <c r="GU142" s="6"/>
      <c r="GV142" s="6"/>
      <c r="GW142" s="6"/>
      <c r="GX142" s="6"/>
      <c r="GY142" s="6"/>
      <c r="GZ142" s="6"/>
      <c r="HA142" s="6"/>
      <c r="HB142" s="6"/>
      <c r="HC142" s="6"/>
      <c r="HD142" s="6"/>
      <c r="HE142" s="6"/>
      <c r="HF142" s="6"/>
      <c r="HG142" s="6"/>
      <c r="HH142" s="6"/>
      <c r="HI142" s="6"/>
      <c r="HJ142" s="6"/>
      <c r="HK142" s="6"/>
      <c r="HL142" s="6"/>
      <c r="HM142" s="6"/>
      <c r="HN142" s="6"/>
      <c r="HO142" s="6"/>
      <c r="HP142" s="6"/>
      <c r="HQ142" s="6"/>
      <c r="HR142" s="6"/>
      <c r="HS142" s="6"/>
      <c r="HT142" s="6"/>
      <c r="HU142" s="6"/>
      <c r="HV142" s="6"/>
      <c r="HW142" s="6"/>
      <c r="HX142" s="6"/>
      <c r="HY142" s="6"/>
      <c r="HZ142" s="6"/>
      <c r="IA142" s="6"/>
      <c r="IB142" s="6"/>
      <c r="IC142" s="6"/>
      <c r="ID142" s="6"/>
      <c r="IE142" s="6"/>
      <c r="IF142" s="6"/>
      <c r="IG142" s="6"/>
      <c r="IH142" s="6"/>
      <c r="II142" s="6"/>
    </row>
    <row r="143" spans="1:243" ht="15" customHeight="1">
      <c r="A143" s="108" t="s">
        <v>123</v>
      </c>
      <c r="B143" s="109"/>
      <c r="C143" s="109"/>
      <c r="D143" s="109"/>
      <c r="E143" s="109"/>
      <c r="F143" s="109"/>
      <c r="G143" s="109"/>
      <c r="H143" s="109"/>
      <c r="I143" s="109"/>
      <c r="J143" s="109"/>
      <c r="K143" s="30"/>
    </row>
    <row r="144" spans="1:243" s="2" customFormat="1" ht="25.05" customHeight="1">
      <c r="A144" s="103" t="s">
        <v>18</v>
      </c>
      <c r="B144" s="104"/>
      <c r="C144" s="104"/>
      <c r="D144" s="104"/>
      <c r="E144" s="12" t="s">
        <v>19</v>
      </c>
      <c r="F144" s="12" t="s">
        <v>20</v>
      </c>
      <c r="G144" s="12" t="s">
        <v>21</v>
      </c>
      <c r="H144" s="12" t="s">
        <v>22</v>
      </c>
      <c r="I144" s="12" t="s">
        <v>23</v>
      </c>
      <c r="J144" s="12"/>
      <c r="K144" s="30"/>
      <c r="L144" s="6"/>
      <c r="M144" s="143"/>
      <c r="N144" s="143"/>
      <c r="O144" s="143"/>
      <c r="P144" s="143"/>
      <c r="Q144" s="6"/>
      <c r="R144" s="6"/>
      <c r="S144" s="6"/>
      <c r="T144" s="6"/>
      <c r="U144" s="6"/>
      <c r="V144" s="63"/>
      <c r="W144" s="64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/>
      <c r="BY144" s="6"/>
      <c r="BZ144" s="6"/>
      <c r="CA144" s="6"/>
      <c r="CB144" s="6"/>
      <c r="CC144" s="6"/>
      <c r="CD144" s="6"/>
      <c r="CE144" s="6"/>
      <c r="CF144" s="6"/>
      <c r="CG144" s="6"/>
      <c r="CH144" s="6"/>
      <c r="CI144" s="6"/>
      <c r="CJ144" s="6"/>
      <c r="CK144" s="6"/>
      <c r="CL144" s="6"/>
      <c r="CM144" s="6"/>
      <c r="CN144" s="6"/>
      <c r="CO144" s="6"/>
      <c r="CP144" s="6"/>
      <c r="CQ144" s="6"/>
      <c r="CR144" s="6"/>
      <c r="CS144" s="6"/>
      <c r="CT144" s="6"/>
      <c r="CU144" s="6"/>
      <c r="CV144" s="6"/>
      <c r="CW144" s="6"/>
      <c r="CX144" s="6"/>
      <c r="CY144" s="6"/>
      <c r="CZ144" s="6"/>
      <c r="DA144" s="6"/>
      <c r="DB144" s="6"/>
      <c r="DC144" s="6"/>
      <c r="DD144" s="6"/>
      <c r="DE144" s="6"/>
      <c r="DF144" s="6"/>
      <c r="DG144" s="6"/>
      <c r="DH144" s="6"/>
      <c r="DI144" s="6"/>
      <c r="DJ144" s="6"/>
      <c r="DK144" s="6"/>
      <c r="DL144" s="6"/>
      <c r="DM144" s="6"/>
      <c r="DN144" s="6"/>
      <c r="DO144" s="6"/>
      <c r="DP144" s="6"/>
      <c r="DQ144" s="6"/>
      <c r="DR144" s="6"/>
      <c r="DS144" s="6"/>
      <c r="DT144" s="6"/>
      <c r="DU144" s="6"/>
      <c r="DV144" s="6"/>
      <c r="DW144" s="6"/>
      <c r="DX144" s="6"/>
      <c r="DY144" s="6"/>
      <c r="DZ144" s="6"/>
      <c r="EA144" s="6"/>
      <c r="EB144" s="6"/>
      <c r="EC144" s="6"/>
      <c r="ED144" s="6"/>
      <c r="EE144" s="6"/>
      <c r="EF144" s="6"/>
      <c r="EG144" s="6"/>
      <c r="EH144" s="6"/>
      <c r="EI144" s="6"/>
      <c r="EJ144" s="6"/>
      <c r="EK144" s="6"/>
      <c r="EL144" s="6"/>
      <c r="EM144" s="6"/>
      <c r="EN144" s="6"/>
      <c r="EO144" s="6"/>
      <c r="EP144" s="6"/>
      <c r="EQ144" s="6"/>
      <c r="ER144" s="6"/>
      <c r="ES144" s="6"/>
      <c r="ET144" s="6"/>
      <c r="EU144" s="6"/>
      <c r="EV144" s="6"/>
      <c r="EW144" s="6"/>
      <c r="EX144" s="6"/>
      <c r="EY144" s="6"/>
      <c r="EZ144" s="6"/>
      <c r="FA144" s="6"/>
      <c r="FB144" s="6"/>
      <c r="FC144" s="6"/>
      <c r="FD144" s="6"/>
      <c r="FE144" s="6"/>
      <c r="FF144" s="6"/>
      <c r="FG144" s="6"/>
      <c r="FH144" s="6"/>
      <c r="FI144" s="6"/>
      <c r="FJ144" s="6"/>
      <c r="FK144" s="6"/>
      <c r="FL144" s="6"/>
      <c r="FM144" s="6"/>
      <c r="FN144" s="6"/>
      <c r="FO144" s="6"/>
      <c r="FP144" s="6"/>
      <c r="FQ144" s="6"/>
      <c r="FR144" s="6"/>
      <c r="FS144" s="6"/>
      <c r="FT144" s="6"/>
      <c r="FU144" s="6"/>
      <c r="FV144" s="6"/>
      <c r="FW144" s="6"/>
      <c r="FX144" s="6"/>
      <c r="FY144" s="6"/>
      <c r="FZ144" s="6"/>
      <c r="GA144" s="6"/>
      <c r="GB144" s="6"/>
      <c r="GC144" s="6"/>
      <c r="GD144" s="6"/>
      <c r="GE144" s="6"/>
      <c r="GF144" s="6"/>
      <c r="GG144" s="6"/>
      <c r="GH144" s="6"/>
      <c r="GI144" s="6"/>
      <c r="GJ144" s="6"/>
      <c r="GK144" s="6"/>
      <c r="GL144" s="6"/>
      <c r="GM144" s="6"/>
      <c r="GN144" s="6"/>
      <c r="GO144" s="6"/>
      <c r="GP144" s="6"/>
      <c r="GQ144" s="6"/>
      <c r="GR144" s="6"/>
      <c r="GS144" s="6"/>
      <c r="GT144" s="6"/>
      <c r="GU144" s="6"/>
      <c r="GV144" s="6"/>
      <c r="GW144" s="6"/>
      <c r="GX144" s="6"/>
      <c r="GY144" s="6"/>
      <c r="GZ144" s="6"/>
      <c r="HA144" s="6"/>
      <c r="HB144" s="6"/>
      <c r="HC144" s="6"/>
      <c r="HD144" s="6"/>
      <c r="HE144" s="6"/>
      <c r="HF144" s="6"/>
      <c r="HG144" s="6"/>
      <c r="HH144" s="6"/>
      <c r="HI144" s="6"/>
      <c r="HJ144" s="6"/>
      <c r="HK144" s="6"/>
      <c r="HL144" s="6"/>
      <c r="HM144" s="6"/>
      <c r="HN144" s="6"/>
      <c r="HO144" s="6"/>
      <c r="HP144" s="6"/>
      <c r="HQ144" s="6"/>
      <c r="HR144" s="6"/>
      <c r="HS144" s="6"/>
      <c r="HT144" s="6"/>
      <c r="HU144" s="6"/>
      <c r="HV144" s="6"/>
      <c r="HW144" s="6"/>
      <c r="HX144" s="6"/>
      <c r="HY144" s="6"/>
      <c r="HZ144" s="6"/>
      <c r="IA144" s="6"/>
      <c r="IB144" s="6"/>
      <c r="IC144" s="6"/>
      <c r="ID144" s="6"/>
      <c r="IE144" s="6"/>
      <c r="IF144" s="6"/>
      <c r="IG144" s="6"/>
      <c r="IH144" s="6"/>
      <c r="II144" s="6"/>
    </row>
    <row r="145" spans="1:243" s="2" customFormat="1" ht="15" customHeight="1">
      <c r="A145" s="125" t="s">
        <v>124</v>
      </c>
      <c r="B145" s="126"/>
      <c r="C145" s="126"/>
      <c r="D145" s="127"/>
      <c r="E145" s="52">
        <v>30</v>
      </c>
      <c r="F145" s="23">
        <f t="shared" ref="F145:F172" si="32">E145*H145/$D$10</f>
        <v>0</v>
      </c>
      <c r="G145" s="14">
        <v>80</v>
      </c>
      <c r="H145" s="52"/>
      <c r="I145" s="14">
        <f t="shared" ref="I145:I172" si="33">H145*G145</f>
        <v>0</v>
      </c>
      <c r="J145" s="33"/>
      <c r="K145" s="30"/>
      <c r="L145" s="6"/>
      <c r="M145" s="6"/>
      <c r="N145" s="6"/>
      <c r="O145" s="6"/>
      <c r="P145" s="6"/>
      <c r="Q145" s="65"/>
      <c r="R145" s="66"/>
      <c r="S145" s="67"/>
      <c r="T145" s="68"/>
      <c r="U145" s="69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CA145" s="6"/>
      <c r="CB145" s="6"/>
      <c r="CC145" s="6"/>
      <c r="CD145" s="6"/>
      <c r="CE145" s="6"/>
      <c r="CF145" s="6"/>
      <c r="CG145" s="6"/>
      <c r="CH145" s="6"/>
      <c r="CI145" s="6"/>
      <c r="CJ145" s="6"/>
      <c r="CK145" s="6"/>
      <c r="CL145" s="6"/>
      <c r="CM145" s="6"/>
      <c r="CN145" s="6"/>
      <c r="CO145" s="6"/>
      <c r="CP145" s="6"/>
      <c r="CQ145" s="6"/>
      <c r="CR145" s="6"/>
      <c r="CS145" s="6"/>
      <c r="CT145" s="6"/>
      <c r="CU145" s="6"/>
      <c r="CV145" s="6"/>
      <c r="CW145" s="6"/>
      <c r="CX145" s="6"/>
      <c r="CY145" s="6"/>
      <c r="CZ145" s="6"/>
      <c r="DA145" s="6"/>
      <c r="DB145" s="6"/>
      <c r="DC145" s="6"/>
      <c r="DD145" s="6"/>
      <c r="DE145" s="6"/>
      <c r="DF145" s="6"/>
      <c r="DG145" s="6"/>
      <c r="DH145" s="6"/>
      <c r="DI145" s="6"/>
      <c r="DJ145" s="6"/>
      <c r="DK145" s="6"/>
      <c r="DL145" s="6"/>
      <c r="DM145" s="6"/>
      <c r="DN145" s="6"/>
      <c r="DO145" s="6"/>
      <c r="DP145" s="6"/>
      <c r="DQ145" s="6"/>
      <c r="DR145" s="6"/>
      <c r="DS145" s="6"/>
      <c r="DT145" s="6"/>
      <c r="DU145" s="6"/>
      <c r="DV145" s="6"/>
      <c r="DW145" s="6"/>
      <c r="DX145" s="6"/>
      <c r="DY145" s="6"/>
      <c r="DZ145" s="6"/>
      <c r="EA145" s="6"/>
      <c r="EB145" s="6"/>
      <c r="EC145" s="6"/>
      <c r="ED145" s="6"/>
      <c r="EE145" s="6"/>
      <c r="EF145" s="6"/>
      <c r="EG145" s="6"/>
      <c r="EH145" s="6"/>
      <c r="EI145" s="6"/>
      <c r="EJ145" s="6"/>
      <c r="EK145" s="6"/>
      <c r="EL145" s="6"/>
      <c r="EM145" s="6"/>
      <c r="EN145" s="6"/>
      <c r="EO145" s="6"/>
      <c r="EP145" s="6"/>
      <c r="EQ145" s="6"/>
      <c r="ER145" s="6"/>
      <c r="ES145" s="6"/>
      <c r="ET145" s="6"/>
      <c r="EU145" s="6"/>
      <c r="EV145" s="6"/>
      <c r="EW145" s="6"/>
      <c r="EX145" s="6"/>
      <c r="EY145" s="6"/>
      <c r="EZ145" s="6"/>
      <c r="FA145" s="6"/>
      <c r="FB145" s="6"/>
      <c r="FC145" s="6"/>
      <c r="FD145" s="6"/>
      <c r="FE145" s="6"/>
      <c r="FF145" s="6"/>
      <c r="FG145" s="6"/>
      <c r="FH145" s="6"/>
      <c r="FI145" s="6"/>
      <c r="FJ145" s="6"/>
      <c r="FK145" s="6"/>
      <c r="FL145" s="6"/>
      <c r="FM145" s="6"/>
      <c r="FN145" s="6"/>
      <c r="FO145" s="6"/>
      <c r="FP145" s="6"/>
      <c r="FQ145" s="6"/>
      <c r="FR145" s="6"/>
      <c r="FS145" s="6"/>
      <c r="FT145" s="6"/>
      <c r="FU145" s="6"/>
      <c r="FV145" s="6"/>
      <c r="FW145" s="6"/>
      <c r="FX145" s="6"/>
      <c r="FY145" s="6"/>
      <c r="FZ145" s="6"/>
      <c r="GA145" s="6"/>
      <c r="GB145" s="6"/>
      <c r="GC145" s="6"/>
      <c r="GD145" s="6"/>
      <c r="GE145" s="6"/>
      <c r="GF145" s="6"/>
      <c r="GG145" s="6"/>
      <c r="GH145" s="6"/>
      <c r="GI145" s="6"/>
      <c r="GJ145" s="6"/>
      <c r="GK145" s="6"/>
      <c r="GL145" s="6"/>
      <c r="GM145" s="6"/>
      <c r="GN145" s="6"/>
      <c r="GO145" s="6"/>
      <c r="GP145" s="6"/>
      <c r="GQ145" s="6"/>
      <c r="GR145" s="6"/>
      <c r="GS145" s="6"/>
      <c r="GT145" s="6"/>
      <c r="GU145" s="6"/>
      <c r="GV145" s="6"/>
      <c r="GW145" s="6"/>
      <c r="GX145" s="6"/>
      <c r="GY145" s="6"/>
      <c r="GZ145" s="6"/>
      <c r="HA145" s="6"/>
      <c r="HB145" s="6"/>
      <c r="HC145" s="6"/>
      <c r="HD145" s="6"/>
      <c r="HE145" s="6"/>
      <c r="HF145" s="6"/>
      <c r="HG145" s="6"/>
      <c r="HH145" s="6"/>
      <c r="HI145" s="6"/>
      <c r="HJ145" s="6"/>
      <c r="HK145" s="6"/>
      <c r="HL145" s="6"/>
      <c r="HM145" s="6"/>
      <c r="HN145" s="6"/>
      <c r="HO145" s="6"/>
      <c r="HP145" s="6"/>
      <c r="HQ145" s="6"/>
      <c r="HR145" s="6"/>
      <c r="HS145" s="6"/>
      <c r="HT145" s="6"/>
      <c r="HU145" s="6"/>
      <c r="HV145" s="6"/>
      <c r="HW145" s="6"/>
      <c r="HX145" s="6"/>
      <c r="HY145" s="6"/>
      <c r="HZ145" s="6"/>
      <c r="IA145" s="6"/>
      <c r="IB145" s="6"/>
      <c r="IC145" s="6"/>
      <c r="ID145" s="6"/>
      <c r="IE145" s="6"/>
      <c r="IF145" s="6"/>
      <c r="IG145" s="6"/>
      <c r="IH145" s="6"/>
      <c r="II145" s="6"/>
    </row>
    <row r="146" spans="1:243" s="2" customFormat="1" ht="15" customHeight="1">
      <c r="A146" s="92" t="s">
        <v>125</v>
      </c>
      <c r="B146" s="93"/>
      <c r="C146" s="93"/>
      <c r="D146" s="93"/>
      <c r="E146" s="52">
        <v>35</v>
      </c>
      <c r="F146" s="23">
        <f t="shared" si="32"/>
        <v>0</v>
      </c>
      <c r="G146" s="14">
        <v>170</v>
      </c>
      <c r="H146" s="52"/>
      <c r="I146" s="14">
        <f t="shared" si="33"/>
        <v>0</v>
      </c>
      <c r="J146" s="33"/>
      <c r="K146" s="30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  <c r="BU146" s="6"/>
      <c r="BV146" s="6"/>
      <c r="BW146" s="6"/>
      <c r="BX146" s="6"/>
      <c r="BY146" s="6"/>
      <c r="BZ146" s="6"/>
      <c r="CA146" s="6"/>
      <c r="CB146" s="6"/>
      <c r="CC146" s="6"/>
      <c r="CD146" s="6"/>
      <c r="CE146" s="6"/>
      <c r="CF146" s="6"/>
      <c r="CG146" s="6"/>
      <c r="CH146" s="6"/>
      <c r="CI146" s="6"/>
      <c r="CJ146" s="6"/>
      <c r="CK146" s="6"/>
      <c r="CL146" s="6"/>
      <c r="CM146" s="6"/>
      <c r="CN146" s="6"/>
      <c r="CO146" s="6"/>
      <c r="CP146" s="6"/>
      <c r="CQ146" s="6"/>
      <c r="CR146" s="6"/>
      <c r="CS146" s="6"/>
      <c r="CT146" s="6"/>
      <c r="CU146" s="6"/>
      <c r="CV146" s="6"/>
      <c r="CW146" s="6"/>
      <c r="CX146" s="6"/>
      <c r="CY146" s="6"/>
      <c r="CZ146" s="6"/>
      <c r="DA146" s="6"/>
      <c r="DB146" s="6"/>
      <c r="DC146" s="6"/>
      <c r="DD146" s="6"/>
      <c r="DE146" s="6"/>
      <c r="DF146" s="6"/>
      <c r="DG146" s="6"/>
      <c r="DH146" s="6"/>
      <c r="DI146" s="6"/>
      <c r="DJ146" s="6"/>
      <c r="DK146" s="6"/>
      <c r="DL146" s="6"/>
      <c r="DM146" s="6"/>
      <c r="DN146" s="6"/>
      <c r="DO146" s="6"/>
      <c r="DP146" s="6"/>
      <c r="DQ146" s="6"/>
      <c r="DR146" s="6"/>
      <c r="DS146" s="6"/>
      <c r="DT146" s="6"/>
      <c r="DU146" s="6"/>
      <c r="DV146" s="6"/>
      <c r="DW146" s="6"/>
      <c r="DX146" s="6"/>
      <c r="DY146" s="6"/>
      <c r="DZ146" s="6"/>
      <c r="EA146" s="6"/>
      <c r="EB146" s="6"/>
      <c r="EC146" s="6"/>
      <c r="ED146" s="6"/>
      <c r="EE146" s="6"/>
      <c r="EF146" s="6"/>
      <c r="EG146" s="6"/>
      <c r="EH146" s="6"/>
      <c r="EI146" s="6"/>
      <c r="EJ146" s="6"/>
      <c r="EK146" s="6"/>
      <c r="EL146" s="6"/>
      <c r="EM146" s="6"/>
      <c r="EN146" s="6"/>
      <c r="EO146" s="6"/>
      <c r="EP146" s="6"/>
      <c r="EQ146" s="6"/>
      <c r="ER146" s="6"/>
      <c r="ES146" s="6"/>
      <c r="ET146" s="6"/>
      <c r="EU146" s="6"/>
      <c r="EV146" s="6"/>
      <c r="EW146" s="6"/>
      <c r="EX146" s="6"/>
      <c r="EY146" s="6"/>
      <c r="EZ146" s="6"/>
      <c r="FA146" s="6"/>
      <c r="FB146" s="6"/>
      <c r="FC146" s="6"/>
      <c r="FD146" s="6"/>
      <c r="FE146" s="6"/>
      <c r="FF146" s="6"/>
      <c r="FG146" s="6"/>
      <c r="FH146" s="6"/>
      <c r="FI146" s="6"/>
      <c r="FJ146" s="6"/>
      <c r="FK146" s="6"/>
      <c r="FL146" s="6"/>
      <c r="FM146" s="6"/>
      <c r="FN146" s="6"/>
      <c r="FO146" s="6"/>
      <c r="FP146" s="6"/>
      <c r="FQ146" s="6"/>
      <c r="FR146" s="6"/>
      <c r="FS146" s="6"/>
      <c r="FT146" s="6"/>
      <c r="FU146" s="6"/>
      <c r="FV146" s="6"/>
      <c r="FW146" s="6"/>
      <c r="FX146" s="6"/>
      <c r="FY146" s="6"/>
      <c r="FZ146" s="6"/>
      <c r="GA146" s="6"/>
      <c r="GB146" s="6"/>
      <c r="GC146" s="6"/>
      <c r="GD146" s="6"/>
      <c r="GE146" s="6"/>
      <c r="GF146" s="6"/>
      <c r="GG146" s="6"/>
      <c r="GH146" s="6"/>
      <c r="GI146" s="6"/>
      <c r="GJ146" s="6"/>
      <c r="GK146" s="6"/>
      <c r="GL146" s="6"/>
      <c r="GM146" s="6"/>
      <c r="GN146" s="6"/>
      <c r="GO146" s="6"/>
      <c r="GP146" s="6"/>
      <c r="GQ146" s="6"/>
      <c r="GR146" s="6"/>
      <c r="GS146" s="6"/>
      <c r="GT146" s="6"/>
      <c r="GU146" s="6"/>
      <c r="GV146" s="6"/>
      <c r="GW146" s="6"/>
      <c r="GX146" s="6"/>
      <c r="GY146" s="6"/>
      <c r="GZ146" s="6"/>
      <c r="HA146" s="6"/>
      <c r="HB146" s="6"/>
      <c r="HC146" s="6"/>
      <c r="HD146" s="6"/>
      <c r="HE146" s="6"/>
      <c r="HF146" s="6"/>
      <c r="HG146" s="6"/>
      <c r="HH146" s="6"/>
      <c r="HI146" s="6"/>
      <c r="HJ146" s="6"/>
      <c r="HK146" s="6"/>
      <c r="HL146" s="6"/>
      <c r="HM146" s="6"/>
      <c r="HN146" s="6"/>
      <c r="HO146" s="6"/>
      <c r="HP146" s="6"/>
      <c r="HQ146" s="6"/>
      <c r="HR146" s="6"/>
      <c r="HS146" s="6"/>
      <c r="HT146" s="6"/>
      <c r="HU146" s="6"/>
      <c r="HV146" s="6"/>
      <c r="HW146" s="6"/>
      <c r="HX146" s="6"/>
      <c r="HY146" s="6"/>
      <c r="HZ146" s="6"/>
      <c r="IA146" s="6"/>
      <c r="IB146" s="6"/>
      <c r="IC146" s="6"/>
      <c r="ID146" s="6"/>
      <c r="IE146" s="6"/>
      <c r="IF146" s="6"/>
      <c r="IG146" s="6"/>
      <c r="IH146" s="6"/>
      <c r="II146" s="6"/>
    </row>
    <row r="147" spans="1:243" ht="15" customHeight="1">
      <c r="A147" s="125" t="s">
        <v>126</v>
      </c>
      <c r="B147" s="126"/>
      <c r="C147" s="126"/>
      <c r="D147" s="127"/>
      <c r="E147" s="52">
        <v>39</v>
      </c>
      <c r="F147" s="23">
        <f t="shared" si="32"/>
        <v>0</v>
      </c>
      <c r="G147" s="14">
        <v>190</v>
      </c>
      <c r="H147" s="52"/>
      <c r="I147" s="14">
        <f t="shared" si="33"/>
        <v>0</v>
      </c>
      <c r="J147" s="33"/>
      <c r="K147" s="30"/>
    </row>
    <row r="148" spans="1:243" ht="15" customHeight="1">
      <c r="A148" s="92" t="s">
        <v>127</v>
      </c>
      <c r="B148" s="93"/>
      <c r="C148" s="93"/>
      <c r="D148" s="93"/>
      <c r="E148" s="27">
        <v>33</v>
      </c>
      <c r="F148" s="23">
        <f t="shared" si="32"/>
        <v>0</v>
      </c>
      <c r="G148" s="14">
        <v>630</v>
      </c>
      <c r="H148" s="27"/>
      <c r="I148" s="14">
        <f t="shared" si="33"/>
        <v>0</v>
      </c>
      <c r="J148" s="33"/>
      <c r="K148" s="30"/>
    </row>
    <row r="149" spans="1:243" s="2" customFormat="1" ht="15" customHeight="1">
      <c r="A149" s="105" t="s">
        <v>128</v>
      </c>
      <c r="B149" s="106"/>
      <c r="C149" s="106"/>
      <c r="D149" s="107"/>
      <c r="E149" s="26">
        <v>50</v>
      </c>
      <c r="F149" s="23">
        <f t="shared" si="32"/>
        <v>0</v>
      </c>
      <c r="G149" s="14">
        <v>710</v>
      </c>
      <c r="H149" s="24"/>
      <c r="I149" s="14">
        <f t="shared" si="33"/>
        <v>0</v>
      </c>
      <c r="J149" s="33"/>
      <c r="K149" s="30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  <c r="BU149" s="6"/>
      <c r="BV149" s="6"/>
      <c r="BW149" s="6"/>
      <c r="BX149" s="6"/>
      <c r="BY149" s="6"/>
      <c r="BZ149" s="6"/>
      <c r="CA149" s="6"/>
      <c r="CB149" s="6"/>
      <c r="CC149" s="6"/>
      <c r="CD149" s="6"/>
      <c r="CE149" s="6"/>
      <c r="CF149" s="6"/>
      <c r="CG149" s="6"/>
      <c r="CH149" s="6"/>
      <c r="CI149" s="6"/>
      <c r="CJ149" s="6"/>
      <c r="CK149" s="6"/>
      <c r="CL149" s="6"/>
      <c r="CM149" s="6"/>
      <c r="CN149" s="6"/>
      <c r="CO149" s="6"/>
      <c r="CP149" s="6"/>
      <c r="CQ149" s="6"/>
      <c r="CR149" s="6"/>
      <c r="CS149" s="6"/>
      <c r="CT149" s="6"/>
      <c r="CU149" s="6"/>
      <c r="CV149" s="6"/>
      <c r="CW149" s="6"/>
      <c r="CX149" s="6"/>
      <c r="CY149" s="6"/>
      <c r="CZ149" s="6"/>
      <c r="DA149" s="6"/>
      <c r="DB149" s="6"/>
      <c r="DC149" s="6"/>
      <c r="DD149" s="6"/>
      <c r="DE149" s="6"/>
      <c r="DF149" s="6"/>
      <c r="DG149" s="6"/>
      <c r="DH149" s="6"/>
      <c r="DI149" s="6"/>
      <c r="DJ149" s="6"/>
      <c r="DK149" s="6"/>
      <c r="DL149" s="6"/>
      <c r="DM149" s="6"/>
      <c r="DN149" s="6"/>
      <c r="DO149" s="6"/>
      <c r="DP149" s="6"/>
      <c r="DQ149" s="6"/>
      <c r="DR149" s="6"/>
      <c r="DS149" s="6"/>
      <c r="DT149" s="6"/>
      <c r="DU149" s="6"/>
      <c r="DV149" s="6"/>
      <c r="DW149" s="6"/>
      <c r="DX149" s="6"/>
      <c r="DY149" s="6"/>
      <c r="DZ149" s="6"/>
      <c r="EA149" s="6"/>
      <c r="EB149" s="6"/>
      <c r="EC149" s="6"/>
      <c r="ED149" s="6"/>
      <c r="EE149" s="6"/>
      <c r="EF149" s="6"/>
      <c r="EG149" s="6"/>
      <c r="EH149" s="6"/>
      <c r="EI149" s="6"/>
      <c r="EJ149" s="6"/>
      <c r="EK149" s="6"/>
      <c r="EL149" s="6"/>
      <c r="EM149" s="6"/>
      <c r="EN149" s="6"/>
      <c r="EO149" s="6"/>
      <c r="EP149" s="6"/>
      <c r="EQ149" s="6"/>
      <c r="ER149" s="6"/>
      <c r="ES149" s="6"/>
      <c r="ET149" s="6"/>
      <c r="EU149" s="6"/>
      <c r="EV149" s="6"/>
      <c r="EW149" s="6"/>
      <c r="EX149" s="6"/>
      <c r="EY149" s="6"/>
      <c r="EZ149" s="6"/>
      <c r="FA149" s="6"/>
      <c r="FB149" s="6"/>
      <c r="FC149" s="6"/>
      <c r="FD149" s="6"/>
      <c r="FE149" s="6"/>
      <c r="FF149" s="6"/>
      <c r="FG149" s="6"/>
      <c r="FH149" s="6"/>
      <c r="FI149" s="6"/>
      <c r="FJ149" s="6"/>
      <c r="FK149" s="6"/>
      <c r="FL149" s="6"/>
      <c r="FM149" s="6"/>
      <c r="FN149" s="6"/>
      <c r="FO149" s="6"/>
      <c r="FP149" s="6"/>
      <c r="FQ149" s="6"/>
      <c r="FR149" s="6"/>
      <c r="FS149" s="6"/>
      <c r="FT149" s="6"/>
      <c r="FU149" s="6"/>
      <c r="FV149" s="6"/>
      <c r="FW149" s="6"/>
      <c r="FX149" s="6"/>
      <c r="FY149" s="6"/>
      <c r="FZ149" s="6"/>
      <c r="GA149" s="6"/>
      <c r="GB149" s="6"/>
      <c r="GC149" s="6"/>
      <c r="GD149" s="6"/>
      <c r="GE149" s="6"/>
      <c r="GF149" s="6"/>
      <c r="GG149" s="6"/>
      <c r="GH149" s="6"/>
      <c r="GI149" s="6"/>
      <c r="GJ149" s="6"/>
      <c r="GK149" s="6"/>
      <c r="GL149" s="6"/>
      <c r="GM149" s="6"/>
      <c r="GN149" s="6"/>
      <c r="GO149" s="6"/>
      <c r="GP149" s="6"/>
      <c r="GQ149" s="6"/>
      <c r="GR149" s="6"/>
      <c r="GS149" s="6"/>
      <c r="GT149" s="6"/>
      <c r="GU149" s="6"/>
      <c r="GV149" s="6"/>
      <c r="GW149" s="6"/>
      <c r="GX149" s="6"/>
      <c r="GY149" s="6"/>
      <c r="GZ149" s="6"/>
      <c r="HA149" s="6"/>
      <c r="HB149" s="6"/>
      <c r="HC149" s="6"/>
      <c r="HD149" s="6"/>
      <c r="HE149" s="6"/>
      <c r="HF149" s="6"/>
      <c r="HG149" s="6"/>
      <c r="HH149" s="6"/>
      <c r="HI149" s="6"/>
      <c r="HJ149" s="6"/>
      <c r="HK149" s="6"/>
      <c r="HL149" s="6"/>
      <c r="HM149" s="6"/>
      <c r="HN149" s="6"/>
      <c r="HO149" s="6"/>
      <c r="HP149" s="6"/>
      <c r="HQ149" s="6"/>
      <c r="HR149" s="6"/>
      <c r="HS149" s="6"/>
      <c r="HT149" s="6"/>
      <c r="HU149" s="6"/>
      <c r="HV149" s="6"/>
      <c r="HW149" s="6"/>
      <c r="HX149" s="6"/>
      <c r="HY149" s="6"/>
      <c r="HZ149" s="6"/>
      <c r="IA149" s="6"/>
      <c r="IB149" s="6"/>
      <c r="IC149" s="6"/>
      <c r="ID149" s="6"/>
      <c r="IE149" s="6"/>
      <c r="IF149" s="6"/>
      <c r="IG149" s="6"/>
      <c r="IH149" s="6"/>
      <c r="II149" s="6"/>
    </row>
    <row r="150" spans="1:243" ht="15" customHeight="1">
      <c r="A150" s="155" t="s">
        <v>129</v>
      </c>
      <c r="B150" s="156"/>
      <c r="C150" s="156"/>
      <c r="D150" s="157"/>
      <c r="E150" s="52">
        <v>50</v>
      </c>
      <c r="F150" s="23">
        <f t="shared" si="32"/>
        <v>0</v>
      </c>
      <c r="G150" s="14">
        <v>220</v>
      </c>
      <c r="H150" s="52"/>
      <c r="I150" s="14">
        <f t="shared" si="33"/>
        <v>0</v>
      </c>
      <c r="J150" s="33"/>
      <c r="K150" s="30"/>
    </row>
    <row r="151" spans="1:243" ht="15" customHeight="1">
      <c r="A151" s="147" t="s">
        <v>130</v>
      </c>
      <c r="B151" s="147"/>
      <c r="C151" s="147"/>
      <c r="D151" s="147"/>
      <c r="E151" s="43">
        <v>50</v>
      </c>
      <c r="F151" s="23">
        <f t="shared" si="32"/>
        <v>0</v>
      </c>
      <c r="G151" s="14">
        <v>250</v>
      </c>
      <c r="H151" s="25"/>
      <c r="I151" s="14">
        <f t="shared" si="33"/>
        <v>0</v>
      </c>
      <c r="J151" s="33"/>
      <c r="K151" s="30"/>
    </row>
    <row r="152" spans="1:243" ht="24.9" customHeight="1">
      <c r="A152" s="161" t="s">
        <v>131</v>
      </c>
      <c r="B152" s="162"/>
      <c r="C152" s="162"/>
      <c r="D152" s="163"/>
      <c r="E152" s="56">
        <v>50</v>
      </c>
      <c r="F152" s="23">
        <f t="shared" si="32"/>
        <v>0</v>
      </c>
      <c r="G152" s="14">
        <v>110</v>
      </c>
      <c r="H152" s="52"/>
      <c r="I152" s="14">
        <f t="shared" si="33"/>
        <v>0</v>
      </c>
      <c r="J152" s="33"/>
      <c r="K152" s="30"/>
    </row>
    <row r="153" spans="1:243" ht="24.9" customHeight="1">
      <c r="A153" s="159" t="s">
        <v>132</v>
      </c>
      <c r="B153" s="160"/>
      <c r="C153" s="160"/>
      <c r="D153" s="160"/>
      <c r="E153" s="56">
        <v>50</v>
      </c>
      <c r="F153" s="23">
        <f t="shared" si="32"/>
        <v>0</v>
      </c>
      <c r="G153" s="14">
        <v>90</v>
      </c>
      <c r="H153" s="52"/>
      <c r="I153" s="14">
        <f t="shared" si="33"/>
        <v>0</v>
      </c>
      <c r="J153" s="33"/>
      <c r="K153" s="30"/>
    </row>
    <row r="154" spans="1:243" ht="25.05" customHeight="1">
      <c r="A154" s="92" t="s">
        <v>133</v>
      </c>
      <c r="B154" s="93"/>
      <c r="C154" s="93"/>
      <c r="D154" s="93"/>
      <c r="E154" s="27">
        <v>33</v>
      </c>
      <c r="F154" s="23">
        <f t="shared" si="32"/>
        <v>0</v>
      </c>
      <c r="G154" s="14">
        <v>125</v>
      </c>
      <c r="H154" s="27"/>
      <c r="I154" s="14">
        <f t="shared" si="33"/>
        <v>0</v>
      </c>
      <c r="J154" s="33"/>
      <c r="K154" s="30"/>
    </row>
    <row r="155" spans="1:243" ht="24.9" customHeight="1">
      <c r="A155" s="92" t="s">
        <v>134</v>
      </c>
      <c r="B155" s="93"/>
      <c r="C155" s="93"/>
      <c r="D155" s="93"/>
      <c r="E155" s="43">
        <v>40</v>
      </c>
      <c r="F155" s="23">
        <f t="shared" si="32"/>
        <v>0</v>
      </c>
      <c r="G155" s="14">
        <v>160</v>
      </c>
      <c r="H155" s="57"/>
      <c r="I155" s="14">
        <f t="shared" si="33"/>
        <v>0</v>
      </c>
      <c r="J155" s="33"/>
      <c r="K155" s="30"/>
    </row>
    <row r="156" spans="1:243" ht="15" customHeight="1">
      <c r="A156" s="125" t="s">
        <v>135</v>
      </c>
      <c r="B156" s="126"/>
      <c r="C156" s="126"/>
      <c r="D156" s="127"/>
      <c r="E156" s="52">
        <v>90</v>
      </c>
      <c r="F156" s="23">
        <f t="shared" si="32"/>
        <v>0</v>
      </c>
      <c r="G156" s="14">
        <v>280</v>
      </c>
      <c r="H156" s="52"/>
      <c r="I156" s="14">
        <f t="shared" si="33"/>
        <v>0</v>
      </c>
      <c r="J156" s="33"/>
      <c r="K156" s="30"/>
    </row>
    <row r="157" spans="1:243" ht="15" customHeight="1">
      <c r="A157" s="92" t="s">
        <v>136</v>
      </c>
      <c r="B157" s="93"/>
      <c r="C157" s="93"/>
      <c r="D157" s="93"/>
      <c r="E157" s="27">
        <v>140</v>
      </c>
      <c r="F157" s="23">
        <f t="shared" si="32"/>
        <v>0</v>
      </c>
      <c r="G157" s="14">
        <v>280</v>
      </c>
      <c r="H157" s="52"/>
      <c r="I157" s="14">
        <f t="shared" si="33"/>
        <v>0</v>
      </c>
      <c r="J157" s="33"/>
      <c r="K157" s="30"/>
    </row>
    <row r="158" spans="1:243" ht="15" customHeight="1">
      <c r="A158" s="138" t="s">
        <v>137</v>
      </c>
      <c r="B158" s="139"/>
      <c r="C158" s="139"/>
      <c r="D158" s="140"/>
      <c r="E158" s="43">
        <v>50</v>
      </c>
      <c r="F158" s="23">
        <f t="shared" si="32"/>
        <v>0</v>
      </c>
      <c r="G158" s="14">
        <v>130</v>
      </c>
      <c r="H158" s="52"/>
      <c r="I158" s="14">
        <f t="shared" si="33"/>
        <v>0</v>
      </c>
      <c r="J158" s="33"/>
      <c r="K158" s="30"/>
    </row>
    <row r="159" spans="1:243" ht="15" customHeight="1">
      <c r="A159" s="155" t="s">
        <v>138</v>
      </c>
      <c r="B159" s="156"/>
      <c r="C159" s="156"/>
      <c r="D159" s="157"/>
      <c r="E159" s="52">
        <v>60</v>
      </c>
      <c r="F159" s="23">
        <f t="shared" si="32"/>
        <v>0</v>
      </c>
      <c r="G159" s="14">
        <v>220</v>
      </c>
      <c r="H159" s="52"/>
      <c r="I159" s="14">
        <f t="shared" si="33"/>
        <v>0</v>
      </c>
      <c r="J159" s="33"/>
      <c r="K159" s="30"/>
    </row>
    <row r="160" spans="1:243" ht="25.05" customHeight="1">
      <c r="A160" s="125" t="s">
        <v>139</v>
      </c>
      <c r="B160" s="126"/>
      <c r="C160" s="126"/>
      <c r="D160" s="127"/>
      <c r="E160" s="43">
        <v>170</v>
      </c>
      <c r="F160" s="23">
        <f t="shared" si="32"/>
        <v>0</v>
      </c>
      <c r="G160" s="14">
        <v>650</v>
      </c>
      <c r="H160" s="52"/>
      <c r="I160" s="14">
        <f t="shared" si="33"/>
        <v>0</v>
      </c>
      <c r="J160" s="33"/>
      <c r="K160" s="30"/>
    </row>
    <row r="161" spans="1:11" ht="21.6" customHeight="1">
      <c r="A161" s="161" t="s">
        <v>140</v>
      </c>
      <c r="B161" s="162"/>
      <c r="C161" s="162"/>
      <c r="D161" s="163"/>
      <c r="E161" s="56">
        <v>50</v>
      </c>
      <c r="F161" s="23">
        <f t="shared" si="32"/>
        <v>0</v>
      </c>
      <c r="G161" s="14">
        <v>330</v>
      </c>
      <c r="H161" s="52"/>
      <c r="I161" s="14">
        <f t="shared" si="33"/>
        <v>0</v>
      </c>
      <c r="J161" s="33"/>
      <c r="K161" s="30"/>
    </row>
    <row r="162" spans="1:11" ht="25.05" customHeight="1">
      <c r="A162" s="92" t="s">
        <v>141</v>
      </c>
      <c r="B162" s="93"/>
      <c r="C162" s="93"/>
      <c r="D162" s="93"/>
      <c r="E162" s="24">
        <v>65</v>
      </c>
      <c r="F162" s="23">
        <f t="shared" si="32"/>
        <v>0</v>
      </c>
      <c r="G162" s="14">
        <v>250</v>
      </c>
      <c r="H162" s="58"/>
      <c r="I162" s="14">
        <f t="shared" si="33"/>
        <v>0</v>
      </c>
      <c r="J162" s="33"/>
      <c r="K162" s="30"/>
    </row>
    <row r="163" spans="1:11" ht="15" customHeight="1">
      <c r="A163" s="164" t="s">
        <v>142</v>
      </c>
      <c r="B163" s="165"/>
      <c r="C163" s="165"/>
      <c r="D163" s="165"/>
      <c r="E163" s="59">
        <v>80</v>
      </c>
      <c r="F163" s="29">
        <f t="shared" ref="F163" si="34">E163*H163/$D$10</f>
        <v>0</v>
      </c>
      <c r="G163" s="29">
        <v>80</v>
      </c>
      <c r="H163" s="60"/>
      <c r="I163" s="29">
        <f t="shared" ref="I163" si="35">H163*G163</f>
        <v>0</v>
      </c>
      <c r="J163" s="29"/>
      <c r="K163" s="30"/>
    </row>
    <row r="164" spans="1:11" ht="15" customHeight="1">
      <c r="A164" s="92" t="s">
        <v>143</v>
      </c>
      <c r="B164" s="93"/>
      <c r="C164" s="93"/>
      <c r="D164" s="93"/>
      <c r="E164" s="27">
        <v>30</v>
      </c>
      <c r="F164" s="23">
        <f t="shared" si="32"/>
        <v>0</v>
      </c>
      <c r="G164" s="14">
        <v>190</v>
      </c>
      <c r="H164" s="27"/>
      <c r="I164" s="14">
        <f t="shared" si="33"/>
        <v>0</v>
      </c>
      <c r="J164" s="33"/>
      <c r="K164" s="30"/>
    </row>
    <row r="165" spans="1:11" ht="15" customHeight="1">
      <c r="A165" s="125" t="s">
        <v>144</v>
      </c>
      <c r="B165" s="126"/>
      <c r="C165" s="126"/>
      <c r="D165" s="127"/>
      <c r="E165" s="27">
        <v>50</v>
      </c>
      <c r="F165" s="23">
        <f t="shared" si="32"/>
        <v>0</v>
      </c>
      <c r="G165" s="14">
        <v>160</v>
      </c>
      <c r="H165" s="27"/>
      <c r="I165" s="14">
        <f t="shared" si="33"/>
        <v>0</v>
      </c>
      <c r="J165" s="33"/>
      <c r="K165" s="30"/>
    </row>
    <row r="166" spans="1:11" ht="15" customHeight="1">
      <c r="A166" s="92" t="s">
        <v>145</v>
      </c>
      <c r="B166" s="93"/>
      <c r="C166" s="93"/>
      <c r="D166" s="93"/>
      <c r="E166" s="27">
        <v>50</v>
      </c>
      <c r="F166" s="23">
        <f t="shared" si="32"/>
        <v>0</v>
      </c>
      <c r="G166" s="14">
        <v>490</v>
      </c>
      <c r="H166" s="27"/>
      <c r="I166" s="14">
        <f t="shared" si="33"/>
        <v>0</v>
      </c>
      <c r="J166" s="33"/>
      <c r="K166" s="30"/>
    </row>
    <row r="167" spans="1:11" ht="15" customHeight="1">
      <c r="A167" s="125" t="s">
        <v>146</v>
      </c>
      <c r="B167" s="126"/>
      <c r="C167" s="126"/>
      <c r="D167" s="127"/>
      <c r="E167" s="27">
        <v>100</v>
      </c>
      <c r="F167" s="23">
        <f t="shared" si="32"/>
        <v>0</v>
      </c>
      <c r="G167" s="14">
        <v>85</v>
      </c>
      <c r="H167" s="27"/>
      <c r="I167" s="14">
        <f t="shared" si="33"/>
        <v>0</v>
      </c>
      <c r="J167" s="33"/>
      <c r="K167" s="30"/>
    </row>
    <row r="168" spans="1:11" ht="15" customHeight="1">
      <c r="A168" s="125" t="s">
        <v>147</v>
      </c>
      <c r="B168" s="126"/>
      <c r="C168" s="126"/>
      <c r="D168" s="127"/>
      <c r="E168" s="52">
        <v>75</v>
      </c>
      <c r="F168" s="23">
        <f t="shared" si="32"/>
        <v>0</v>
      </c>
      <c r="G168" s="14">
        <v>80</v>
      </c>
      <c r="H168" s="52"/>
      <c r="I168" s="14">
        <f t="shared" si="33"/>
        <v>0</v>
      </c>
      <c r="J168" s="33"/>
      <c r="K168" s="30"/>
    </row>
    <row r="169" spans="1:11" ht="15" customHeight="1">
      <c r="A169" s="125" t="s">
        <v>148</v>
      </c>
      <c r="B169" s="126"/>
      <c r="C169" s="126"/>
      <c r="D169" s="127"/>
      <c r="E169" s="52">
        <v>80</v>
      </c>
      <c r="F169" s="23">
        <f t="shared" si="32"/>
        <v>0</v>
      </c>
      <c r="G169" s="14">
        <v>80</v>
      </c>
      <c r="H169" s="52"/>
      <c r="I169" s="14">
        <f t="shared" si="33"/>
        <v>0</v>
      </c>
      <c r="J169" s="33"/>
      <c r="K169" s="30"/>
    </row>
    <row r="170" spans="1:11" ht="15" customHeight="1">
      <c r="A170" s="92" t="s">
        <v>149</v>
      </c>
      <c r="B170" s="93"/>
      <c r="C170" s="93"/>
      <c r="D170" s="93"/>
      <c r="E170" s="52">
        <v>80</v>
      </c>
      <c r="F170" s="23">
        <f t="shared" si="32"/>
        <v>0</v>
      </c>
      <c r="G170" s="14">
        <v>215</v>
      </c>
      <c r="H170" s="52"/>
      <c r="I170" s="14">
        <f t="shared" si="33"/>
        <v>0</v>
      </c>
      <c r="J170" s="33"/>
      <c r="K170" s="30"/>
    </row>
    <row r="171" spans="1:11" ht="15" customHeight="1">
      <c r="A171" s="125" t="s">
        <v>150</v>
      </c>
      <c r="B171" s="126"/>
      <c r="C171" s="126"/>
      <c r="D171" s="127"/>
      <c r="E171" s="52">
        <v>100</v>
      </c>
      <c r="F171" s="23">
        <f t="shared" si="32"/>
        <v>0</v>
      </c>
      <c r="G171" s="14">
        <v>115</v>
      </c>
      <c r="H171" s="52"/>
      <c r="I171" s="14">
        <f t="shared" si="33"/>
        <v>0</v>
      </c>
      <c r="J171" s="33"/>
      <c r="K171" s="30"/>
    </row>
    <row r="172" spans="1:11" ht="15" customHeight="1">
      <c r="A172" s="125" t="s">
        <v>151</v>
      </c>
      <c r="B172" s="126"/>
      <c r="C172" s="126"/>
      <c r="D172" s="127"/>
      <c r="E172" s="52">
        <v>80</v>
      </c>
      <c r="F172" s="23">
        <f t="shared" si="32"/>
        <v>0</v>
      </c>
      <c r="G172" s="14">
        <v>110</v>
      </c>
      <c r="H172" s="52"/>
      <c r="I172" s="14">
        <f t="shared" si="33"/>
        <v>0</v>
      </c>
      <c r="J172" s="33"/>
      <c r="K172" s="30"/>
    </row>
    <row r="173" spans="1:11" ht="15" customHeight="1">
      <c r="A173" s="108" t="s">
        <v>152</v>
      </c>
      <c r="B173" s="109"/>
      <c r="C173" s="109"/>
      <c r="D173" s="109"/>
      <c r="E173" s="109"/>
      <c r="F173" s="109"/>
      <c r="G173" s="109"/>
      <c r="H173" s="109"/>
      <c r="I173" s="109"/>
      <c r="J173" s="109"/>
      <c r="K173" s="30"/>
    </row>
    <row r="174" spans="1:11" ht="25.05" customHeight="1">
      <c r="A174" s="103" t="s">
        <v>18</v>
      </c>
      <c r="B174" s="104"/>
      <c r="C174" s="104"/>
      <c r="D174" s="104"/>
      <c r="E174" s="12" t="s">
        <v>19</v>
      </c>
      <c r="F174" s="12" t="s">
        <v>20</v>
      </c>
      <c r="G174" s="12" t="s">
        <v>21</v>
      </c>
      <c r="H174" s="12" t="s">
        <v>22</v>
      </c>
      <c r="I174" s="12" t="s">
        <v>23</v>
      </c>
      <c r="J174" s="12"/>
      <c r="K174" s="30"/>
    </row>
    <row r="175" spans="1:11" ht="15" customHeight="1">
      <c r="A175" s="159" t="s">
        <v>153</v>
      </c>
      <c r="B175" s="160"/>
      <c r="C175" s="160"/>
      <c r="D175" s="160"/>
      <c r="E175" s="25">
        <v>100</v>
      </c>
      <c r="F175" s="23">
        <f t="shared" ref="F175:F182" si="36">E175*H175/$D$10</f>
        <v>0</v>
      </c>
      <c r="G175" s="14">
        <v>60</v>
      </c>
      <c r="H175" s="52"/>
      <c r="I175" s="14">
        <f t="shared" ref="I175:I182" si="37">H175*G175</f>
        <v>0</v>
      </c>
      <c r="J175" s="33"/>
      <c r="K175" s="30"/>
    </row>
    <row r="176" spans="1:11" ht="15" customHeight="1">
      <c r="A176" s="159" t="s">
        <v>154</v>
      </c>
      <c r="B176" s="160"/>
      <c r="C176" s="160"/>
      <c r="D176" s="160"/>
      <c r="E176" s="25">
        <v>100</v>
      </c>
      <c r="F176" s="23">
        <f t="shared" si="36"/>
        <v>0</v>
      </c>
      <c r="G176" s="14">
        <v>60</v>
      </c>
      <c r="H176" s="52"/>
      <c r="I176" s="14">
        <f t="shared" si="37"/>
        <v>0</v>
      </c>
      <c r="J176" s="33"/>
      <c r="K176" s="30"/>
    </row>
    <row r="177" spans="1:11" ht="15" customHeight="1">
      <c r="A177" s="105" t="s">
        <v>155</v>
      </c>
      <c r="B177" s="106"/>
      <c r="C177" s="106"/>
      <c r="D177" s="107"/>
      <c r="E177" s="25">
        <v>100</v>
      </c>
      <c r="F177" s="23">
        <f t="shared" si="36"/>
        <v>0</v>
      </c>
      <c r="G177" s="14">
        <v>100</v>
      </c>
      <c r="H177" s="52"/>
      <c r="I177" s="14">
        <f t="shared" si="37"/>
        <v>0</v>
      </c>
      <c r="J177" s="33"/>
      <c r="K177" s="30"/>
    </row>
    <row r="178" spans="1:11" ht="15" customHeight="1">
      <c r="A178" s="105" t="s">
        <v>156</v>
      </c>
      <c r="B178" s="106"/>
      <c r="C178" s="106"/>
      <c r="D178" s="107"/>
      <c r="E178" s="25">
        <v>100</v>
      </c>
      <c r="F178" s="23">
        <f t="shared" si="36"/>
        <v>0</v>
      </c>
      <c r="G178" s="14">
        <v>95</v>
      </c>
      <c r="H178" s="52"/>
      <c r="I178" s="14">
        <f t="shared" si="37"/>
        <v>0</v>
      </c>
      <c r="J178" s="33"/>
      <c r="K178" s="30"/>
    </row>
    <row r="179" spans="1:11" ht="15" customHeight="1">
      <c r="A179" s="125" t="s">
        <v>157</v>
      </c>
      <c r="B179" s="126"/>
      <c r="C179" s="126"/>
      <c r="D179" s="127"/>
      <c r="E179" s="52">
        <v>100</v>
      </c>
      <c r="F179" s="23">
        <f t="shared" si="36"/>
        <v>0</v>
      </c>
      <c r="G179" s="14">
        <v>90</v>
      </c>
      <c r="H179" s="52"/>
      <c r="I179" s="14">
        <f t="shared" si="37"/>
        <v>0</v>
      </c>
      <c r="J179" s="33"/>
      <c r="K179" s="30"/>
    </row>
    <row r="180" spans="1:11" ht="15" customHeight="1">
      <c r="A180" s="92" t="s">
        <v>158</v>
      </c>
      <c r="B180" s="93"/>
      <c r="C180" s="93"/>
      <c r="D180" s="93"/>
      <c r="E180" s="52">
        <v>150</v>
      </c>
      <c r="F180" s="23">
        <f t="shared" si="36"/>
        <v>0</v>
      </c>
      <c r="G180" s="14">
        <v>120</v>
      </c>
      <c r="H180" s="52"/>
      <c r="I180" s="14">
        <f t="shared" si="37"/>
        <v>0</v>
      </c>
      <c r="J180" s="33"/>
      <c r="K180" s="30"/>
    </row>
    <row r="181" spans="1:11" ht="15" customHeight="1">
      <c r="A181" s="92" t="s">
        <v>159</v>
      </c>
      <c r="B181" s="93"/>
      <c r="C181" s="93"/>
      <c r="D181" s="93"/>
      <c r="E181" s="52">
        <v>100</v>
      </c>
      <c r="F181" s="23">
        <f t="shared" ref="F181" si="38">E181*H181/$D$10</f>
        <v>0</v>
      </c>
      <c r="G181" s="14">
        <v>120</v>
      </c>
      <c r="H181" s="52"/>
      <c r="I181" s="14">
        <f t="shared" ref="I181" si="39">H181*G181</f>
        <v>0</v>
      </c>
      <c r="J181" s="33"/>
      <c r="K181" s="30"/>
    </row>
    <row r="182" spans="1:11" ht="15" customHeight="1">
      <c r="A182" s="92" t="s">
        <v>160</v>
      </c>
      <c r="B182" s="93"/>
      <c r="C182" s="93"/>
      <c r="D182" s="93"/>
      <c r="E182" s="52">
        <v>120</v>
      </c>
      <c r="F182" s="23">
        <f t="shared" si="36"/>
        <v>0</v>
      </c>
      <c r="G182" s="14">
        <v>220</v>
      </c>
      <c r="H182" s="52"/>
      <c r="I182" s="14">
        <f t="shared" si="37"/>
        <v>0</v>
      </c>
      <c r="J182" s="33"/>
      <c r="K182" s="30"/>
    </row>
    <row r="183" spans="1:11" ht="15" customHeight="1">
      <c r="A183" s="108" t="s">
        <v>161</v>
      </c>
      <c r="B183" s="109"/>
      <c r="C183" s="109"/>
      <c r="D183" s="109"/>
      <c r="E183" s="109"/>
      <c r="F183" s="109"/>
      <c r="G183" s="109"/>
      <c r="H183" s="109"/>
      <c r="I183" s="109"/>
      <c r="J183" s="109"/>
      <c r="K183" s="30"/>
    </row>
    <row r="184" spans="1:11" ht="25.05" customHeight="1">
      <c r="A184" s="103" t="s">
        <v>18</v>
      </c>
      <c r="B184" s="104"/>
      <c r="C184" s="104"/>
      <c r="D184" s="104"/>
      <c r="E184" s="12" t="s">
        <v>19</v>
      </c>
      <c r="F184" s="12" t="s">
        <v>20</v>
      </c>
      <c r="G184" s="12" t="s">
        <v>21</v>
      </c>
      <c r="H184" s="12" t="s">
        <v>22</v>
      </c>
      <c r="I184" s="12" t="s">
        <v>23</v>
      </c>
      <c r="J184" s="12"/>
      <c r="K184" s="30"/>
    </row>
    <row r="185" spans="1:11" ht="15" customHeight="1">
      <c r="A185" s="155" t="s">
        <v>162</v>
      </c>
      <c r="B185" s="156"/>
      <c r="C185" s="156"/>
      <c r="D185" s="157"/>
      <c r="E185" s="52">
        <v>50</v>
      </c>
      <c r="F185" s="23">
        <f t="shared" ref="F185:F190" si="40">E185*H185/$D$10</f>
        <v>0</v>
      </c>
      <c r="G185" s="14">
        <v>80</v>
      </c>
      <c r="H185" s="58"/>
      <c r="I185" s="14">
        <f t="shared" ref="I185:I190" si="41">H185*G185</f>
        <v>0</v>
      </c>
      <c r="J185" s="33"/>
      <c r="K185" s="30"/>
    </row>
    <row r="186" spans="1:11" ht="15" customHeight="1">
      <c r="A186" s="53" t="s">
        <v>163</v>
      </c>
      <c r="B186" s="54"/>
      <c r="C186" s="54"/>
      <c r="D186" s="55"/>
      <c r="E186" s="52">
        <v>50</v>
      </c>
      <c r="F186" s="23">
        <f t="shared" si="40"/>
        <v>0</v>
      </c>
      <c r="G186" s="14">
        <v>80</v>
      </c>
      <c r="H186" s="58"/>
      <c r="I186" s="14">
        <f t="shared" si="41"/>
        <v>0</v>
      </c>
      <c r="J186" s="33"/>
      <c r="K186" s="30"/>
    </row>
    <row r="187" spans="1:11" ht="15" customHeight="1">
      <c r="A187" s="155" t="s">
        <v>164</v>
      </c>
      <c r="B187" s="156"/>
      <c r="C187" s="156"/>
      <c r="D187" s="157"/>
      <c r="E187" s="52">
        <v>50</v>
      </c>
      <c r="F187" s="23">
        <f t="shared" si="40"/>
        <v>0</v>
      </c>
      <c r="G187" s="14">
        <v>80</v>
      </c>
      <c r="H187" s="58"/>
      <c r="I187" s="14">
        <f t="shared" si="41"/>
        <v>0</v>
      </c>
      <c r="J187" s="33"/>
      <c r="K187" s="30"/>
    </row>
    <row r="188" spans="1:11" ht="15" customHeight="1">
      <c r="A188" s="53" t="s">
        <v>165</v>
      </c>
      <c r="B188" s="54"/>
      <c r="C188" s="54"/>
      <c r="D188" s="55"/>
      <c r="E188" s="52">
        <v>50</v>
      </c>
      <c r="F188" s="23">
        <f t="shared" si="40"/>
        <v>0</v>
      </c>
      <c r="G188" s="14">
        <v>80</v>
      </c>
      <c r="H188" s="58"/>
      <c r="I188" s="14">
        <f t="shared" si="41"/>
        <v>0</v>
      </c>
      <c r="J188" s="33"/>
      <c r="K188" s="30"/>
    </row>
    <row r="189" spans="1:11" ht="15" customHeight="1">
      <c r="A189" s="158" t="s">
        <v>166</v>
      </c>
      <c r="B189" s="158"/>
      <c r="C189" s="158"/>
      <c r="D189" s="158"/>
      <c r="E189" s="52">
        <v>50</v>
      </c>
      <c r="F189" s="23">
        <f t="shared" si="40"/>
        <v>0</v>
      </c>
      <c r="G189" s="14">
        <v>80</v>
      </c>
      <c r="H189" s="58"/>
      <c r="I189" s="14">
        <f t="shared" si="41"/>
        <v>0</v>
      </c>
      <c r="J189" s="33"/>
      <c r="K189" s="30"/>
    </row>
    <row r="190" spans="1:11" ht="15" customHeight="1">
      <c r="A190" s="158" t="s">
        <v>167</v>
      </c>
      <c r="B190" s="158"/>
      <c r="C190" s="158"/>
      <c r="D190" s="158"/>
      <c r="E190" s="52">
        <v>50</v>
      </c>
      <c r="F190" s="23">
        <f t="shared" si="40"/>
        <v>0</v>
      </c>
      <c r="G190" s="14">
        <v>80</v>
      </c>
      <c r="H190" s="58"/>
      <c r="I190" s="14">
        <f t="shared" si="41"/>
        <v>0</v>
      </c>
      <c r="J190" s="33"/>
      <c r="K190" s="30"/>
    </row>
    <row r="191" spans="1:11" ht="15" customHeight="1">
      <c r="A191" s="128" t="s">
        <v>168</v>
      </c>
      <c r="B191" s="129"/>
      <c r="C191" s="129"/>
      <c r="D191" s="129"/>
      <c r="E191" s="129"/>
      <c r="F191" s="129"/>
      <c r="G191" s="129"/>
      <c r="H191" s="129"/>
      <c r="I191" s="129"/>
      <c r="J191" s="130"/>
      <c r="K191" s="30"/>
    </row>
    <row r="192" spans="1:11" ht="25.05" customHeight="1">
      <c r="A192" s="103" t="s">
        <v>18</v>
      </c>
      <c r="B192" s="104"/>
      <c r="C192" s="104"/>
      <c r="D192" s="104"/>
      <c r="E192" s="12" t="s">
        <v>19</v>
      </c>
      <c r="F192" s="12" t="s">
        <v>20</v>
      </c>
      <c r="G192" s="12" t="s">
        <v>21</v>
      </c>
      <c r="H192" s="12" t="s">
        <v>22</v>
      </c>
      <c r="I192" s="12" t="s">
        <v>23</v>
      </c>
      <c r="J192" s="12"/>
      <c r="K192" s="30"/>
    </row>
    <row r="193" spans="1:55" ht="15" customHeight="1">
      <c r="A193" s="144" t="s">
        <v>169</v>
      </c>
      <c r="B193" s="145"/>
      <c r="C193" s="145"/>
      <c r="D193" s="145"/>
      <c r="E193" s="145"/>
      <c r="F193" s="145"/>
      <c r="G193" s="145"/>
      <c r="H193" s="145"/>
      <c r="I193" s="145"/>
      <c r="J193" s="146"/>
      <c r="K193" s="30"/>
    </row>
    <row r="194" spans="1:55" ht="15" customHeight="1">
      <c r="A194" s="147" t="s">
        <v>170</v>
      </c>
      <c r="B194" s="147"/>
      <c r="C194" s="147"/>
      <c r="D194" s="147"/>
      <c r="E194" s="43">
        <v>40</v>
      </c>
      <c r="F194" s="23">
        <f t="shared" ref="F194:F256" si="42">E194*H194/$D$10</f>
        <v>0</v>
      </c>
      <c r="G194" s="14">
        <v>110</v>
      </c>
      <c r="H194" s="43"/>
      <c r="I194" s="14">
        <f>G194*H194</f>
        <v>0</v>
      </c>
      <c r="J194" s="33"/>
      <c r="K194" s="30"/>
    </row>
    <row r="195" spans="1:55" ht="15" customHeight="1">
      <c r="A195" s="147" t="s">
        <v>171</v>
      </c>
      <c r="B195" s="147"/>
      <c r="C195" s="147"/>
      <c r="D195" s="147"/>
      <c r="E195" s="43">
        <v>40</v>
      </c>
      <c r="F195" s="23">
        <f t="shared" si="42"/>
        <v>0</v>
      </c>
      <c r="G195" s="14">
        <v>110</v>
      </c>
      <c r="H195" s="43"/>
      <c r="I195" s="14">
        <f>G195*H195</f>
        <v>0</v>
      </c>
      <c r="J195" s="33"/>
      <c r="K195" s="30"/>
    </row>
    <row r="196" spans="1:55" ht="15" customHeight="1">
      <c r="A196" s="147" t="s">
        <v>172</v>
      </c>
      <c r="B196" s="147"/>
      <c r="C196" s="147"/>
      <c r="D196" s="147"/>
      <c r="E196" s="43">
        <v>40</v>
      </c>
      <c r="F196" s="23">
        <f t="shared" si="42"/>
        <v>0</v>
      </c>
      <c r="G196" s="14">
        <v>110</v>
      </c>
      <c r="H196" s="43"/>
      <c r="I196" s="14">
        <f t="shared" ref="I196:I202" si="43">G196*H196</f>
        <v>0</v>
      </c>
      <c r="J196" s="33"/>
      <c r="K196" s="30"/>
    </row>
    <row r="197" spans="1:55" ht="15" customHeight="1">
      <c r="A197" s="147" t="s">
        <v>173</v>
      </c>
      <c r="B197" s="147"/>
      <c r="C197" s="147"/>
      <c r="D197" s="147"/>
      <c r="E197" s="43">
        <v>40</v>
      </c>
      <c r="F197" s="23">
        <f t="shared" si="42"/>
        <v>0</v>
      </c>
      <c r="G197" s="14">
        <v>110</v>
      </c>
      <c r="H197" s="43"/>
      <c r="I197" s="14">
        <f t="shared" si="43"/>
        <v>0</v>
      </c>
      <c r="J197" s="33"/>
      <c r="K197" s="30"/>
      <c r="L197" s="64"/>
    </row>
    <row r="198" spans="1:55" ht="15" customHeight="1">
      <c r="A198" s="147" t="s">
        <v>174</v>
      </c>
      <c r="B198" s="147"/>
      <c r="C198" s="147"/>
      <c r="D198" s="147"/>
      <c r="E198" s="43">
        <v>40</v>
      </c>
      <c r="F198" s="23">
        <f t="shared" si="42"/>
        <v>0</v>
      </c>
      <c r="G198" s="14">
        <v>110</v>
      </c>
      <c r="H198" s="43"/>
      <c r="I198" s="14">
        <f t="shared" si="43"/>
        <v>0</v>
      </c>
      <c r="J198" s="33"/>
      <c r="K198" s="30"/>
      <c r="L198" s="64"/>
    </row>
    <row r="199" spans="1:55" ht="15" customHeight="1">
      <c r="A199" s="147" t="s">
        <v>175</v>
      </c>
      <c r="B199" s="147"/>
      <c r="C199" s="147"/>
      <c r="D199" s="147"/>
      <c r="E199" s="43">
        <v>40</v>
      </c>
      <c r="F199" s="23">
        <f t="shared" si="42"/>
        <v>0</v>
      </c>
      <c r="G199" s="14">
        <v>110</v>
      </c>
      <c r="H199" s="43"/>
      <c r="I199" s="14">
        <f t="shared" si="43"/>
        <v>0</v>
      </c>
      <c r="J199" s="33"/>
      <c r="K199" s="30"/>
      <c r="L199" s="64"/>
    </row>
    <row r="200" spans="1:55" ht="15" customHeight="1">
      <c r="A200" s="147" t="s">
        <v>176</v>
      </c>
      <c r="B200" s="147"/>
      <c r="C200" s="147"/>
      <c r="D200" s="147"/>
      <c r="E200" s="43">
        <v>40</v>
      </c>
      <c r="F200" s="23">
        <f t="shared" si="42"/>
        <v>0</v>
      </c>
      <c r="G200" s="14">
        <v>110</v>
      </c>
      <c r="H200" s="43"/>
      <c r="I200" s="14">
        <f t="shared" si="43"/>
        <v>0</v>
      </c>
      <c r="J200" s="33"/>
      <c r="K200" s="30"/>
    </row>
    <row r="201" spans="1:55" ht="15" customHeight="1">
      <c r="A201" s="152" t="s">
        <v>177</v>
      </c>
      <c r="B201" s="153"/>
      <c r="C201" s="153"/>
      <c r="D201" s="154"/>
      <c r="E201" s="51">
        <v>40</v>
      </c>
      <c r="F201" s="21">
        <f t="shared" si="42"/>
        <v>0</v>
      </c>
      <c r="G201" s="21">
        <v>110</v>
      </c>
      <c r="H201" s="51"/>
      <c r="I201" s="21">
        <f t="shared" si="43"/>
        <v>0</v>
      </c>
      <c r="J201" s="21"/>
      <c r="K201" s="30"/>
    </row>
    <row r="202" spans="1:55" ht="15" customHeight="1">
      <c r="A202" s="147" t="s">
        <v>178</v>
      </c>
      <c r="B202" s="147"/>
      <c r="C202" s="147"/>
      <c r="D202" s="147"/>
      <c r="E202" s="43">
        <v>30</v>
      </c>
      <c r="F202" s="23">
        <f t="shared" si="42"/>
        <v>0</v>
      </c>
      <c r="G202" s="14">
        <v>40</v>
      </c>
      <c r="H202" s="43"/>
      <c r="I202" s="14">
        <f t="shared" si="43"/>
        <v>0</v>
      </c>
      <c r="J202" s="33"/>
      <c r="K202" s="30"/>
    </row>
    <row r="203" spans="1:55" ht="15" customHeight="1">
      <c r="A203" s="147" t="s">
        <v>179</v>
      </c>
      <c r="B203" s="147"/>
      <c r="C203" s="147"/>
      <c r="D203" s="147"/>
      <c r="E203" s="43">
        <v>30</v>
      </c>
      <c r="F203" s="23">
        <f t="shared" si="42"/>
        <v>0</v>
      </c>
      <c r="G203" s="14">
        <v>100</v>
      </c>
      <c r="H203" s="43"/>
      <c r="I203" s="14">
        <f t="shared" ref="I203" si="44">G203*H203</f>
        <v>0</v>
      </c>
      <c r="J203" s="33"/>
      <c r="K203" s="30"/>
    </row>
    <row r="204" spans="1:55" ht="15" customHeight="1">
      <c r="A204" s="147" t="s">
        <v>180</v>
      </c>
      <c r="B204" s="147"/>
      <c r="C204" s="147"/>
      <c r="D204" s="147"/>
      <c r="E204" s="43">
        <v>30</v>
      </c>
      <c r="F204" s="23">
        <f t="shared" si="42"/>
        <v>0</v>
      </c>
      <c r="G204" s="14">
        <v>50</v>
      </c>
      <c r="H204" s="43"/>
      <c r="I204" s="14">
        <f t="shared" ref="I204:I214" si="45">H204*G204</f>
        <v>0</v>
      </c>
      <c r="J204" s="33"/>
      <c r="K204" s="30"/>
      <c r="AP204" s="30"/>
      <c r="AQ204" s="30"/>
      <c r="AR204" s="30"/>
      <c r="AS204" s="30"/>
      <c r="AT204" s="30"/>
      <c r="AU204" s="30"/>
      <c r="AV204" s="30"/>
      <c r="AW204" s="30"/>
      <c r="AX204" s="30"/>
      <c r="AY204" s="30"/>
      <c r="AZ204" s="30"/>
      <c r="BA204" s="30"/>
      <c r="BB204" s="30"/>
      <c r="BC204" s="30"/>
    </row>
    <row r="205" spans="1:55" ht="15" customHeight="1">
      <c r="A205" s="147" t="s">
        <v>181</v>
      </c>
      <c r="B205" s="148"/>
      <c r="C205" s="148"/>
      <c r="D205" s="148"/>
      <c r="E205" s="43">
        <v>30</v>
      </c>
      <c r="F205" s="23">
        <f t="shared" si="42"/>
        <v>0</v>
      </c>
      <c r="G205" s="14">
        <v>60</v>
      </c>
      <c r="H205" s="24"/>
      <c r="I205" s="14">
        <f t="shared" si="45"/>
        <v>0</v>
      </c>
      <c r="J205" s="33"/>
      <c r="K205" s="30"/>
      <c r="AP205" s="30"/>
      <c r="AQ205" s="30"/>
      <c r="AR205" s="30"/>
      <c r="AS205" s="30"/>
      <c r="AT205" s="30"/>
      <c r="AU205" s="30"/>
      <c r="AV205" s="30"/>
      <c r="AW205" s="30"/>
      <c r="AX205" s="30"/>
      <c r="AY205" s="30"/>
      <c r="AZ205" s="30"/>
      <c r="BA205" s="30"/>
      <c r="BB205" s="30"/>
      <c r="BC205" s="30"/>
    </row>
    <row r="206" spans="1:55" ht="15" customHeight="1">
      <c r="A206" s="147" t="s">
        <v>182</v>
      </c>
      <c r="B206" s="148"/>
      <c r="C206" s="148"/>
      <c r="D206" s="148"/>
      <c r="E206" s="43">
        <v>30</v>
      </c>
      <c r="F206" s="23">
        <f t="shared" si="42"/>
        <v>0</v>
      </c>
      <c r="G206" s="14">
        <v>30</v>
      </c>
      <c r="H206" s="43"/>
      <c r="I206" s="14">
        <f t="shared" si="45"/>
        <v>0</v>
      </c>
      <c r="J206" s="33"/>
      <c r="K206" s="30"/>
      <c r="AP206" s="30"/>
      <c r="AQ206" s="30"/>
      <c r="AR206" s="30"/>
      <c r="AS206" s="30"/>
      <c r="AT206" s="30"/>
      <c r="AU206" s="30"/>
      <c r="AV206" s="30"/>
      <c r="AW206" s="30"/>
      <c r="AX206" s="30"/>
      <c r="AY206" s="30"/>
      <c r="AZ206" s="30"/>
      <c r="BA206" s="30"/>
      <c r="BB206" s="30"/>
      <c r="BC206" s="30"/>
    </row>
    <row r="207" spans="1:55" ht="15" customHeight="1">
      <c r="A207" s="149" t="s">
        <v>183</v>
      </c>
      <c r="B207" s="150"/>
      <c r="C207" s="150"/>
      <c r="D207" s="151"/>
      <c r="E207" s="43">
        <v>30</v>
      </c>
      <c r="F207" s="23">
        <f t="shared" si="42"/>
        <v>0</v>
      </c>
      <c r="G207" s="14">
        <v>30</v>
      </c>
      <c r="H207" s="43"/>
      <c r="I207" s="14">
        <f t="shared" si="45"/>
        <v>0</v>
      </c>
      <c r="J207" s="33"/>
      <c r="K207" s="30"/>
      <c r="AP207" s="30"/>
      <c r="AQ207" s="30"/>
      <c r="AR207" s="30"/>
      <c r="AS207" s="30"/>
      <c r="AT207" s="30"/>
      <c r="AU207" s="30"/>
      <c r="AV207" s="30"/>
      <c r="AW207" s="30"/>
      <c r="AX207" s="30"/>
      <c r="AY207" s="30"/>
      <c r="AZ207" s="30"/>
      <c r="BA207" s="30"/>
      <c r="BB207" s="30"/>
      <c r="BC207" s="30"/>
    </row>
    <row r="208" spans="1:55" ht="15" customHeight="1">
      <c r="A208" s="149" t="s">
        <v>184</v>
      </c>
      <c r="B208" s="150"/>
      <c r="C208" s="150"/>
      <c r="D208" s="151"/>
      <c r="E208" s="43">
        <v>30</v>
      </c>
      <c r="F208" s="23">
        <f t="shared" si="42"/>
        <v>0</v>
      </c>
      <c r="G208" s="14">
        <v>50</v>
      </c>
      <c r="H208" s="43"/>
      <c r="I208" s="14">
        <f t="shared" si="45"/>
        <v>0</v>
      </c>
      <c r="J208" s="33"/>
      <c r="K208" s="30"/>
    </row>
    <row r="209" spans="1:57" ht="15" customHeight="1">
      <c r="A209" s="149" t="s">
        <v>185</v>
      </c>
      <c r="B209" s="150"/>
      <c r="C209" s="150"/>
      <c r="D209" s="151"/>
      <c r="E209" s="43">
        <v>30</v>
      </c>
      <c r="F209" s="23">
        <f t="shared" si="42"/>
        <v>0</v>
      </c>
      <c r="G209" s="14">
        <v>30</v>
      </c>
      <c r="H209" s="43"/>
      <c r="I209" s="14">
        <f t="shared" si="45"/>
        <v>0</v>
      </c>
      <c r="J209" s="33"/>
      <c r="K209" s="30"/>
    </row>
    <row r="210" spans="1:57" ht="15" customHeight="1">
      <c r="A210" s="149" t="s">
        <v>186</v>
      </c>
      <c r="B210" s="150"/>
      <c r="C210" s="150"/>
      <c r="D210" s="151"/>
      <c r="E210" s="43">
        <v>30</v>
      </c>
      <c r="F210" s="23">
        <f t="shared" si="42"/>
        <v>0</v>
      </c>
      <c r="G210" s="14">
        <v>40</v>
      </c>
      <c r="H210" s="43"/>
      <c r="I210" s="14">
        <f t="shared" si="45"/>
        <v>0</v>
      </c>
      <c r="J210" s="33"/>
      <c r="K210" s="30"/>
    </row>
    <row r="211" spans="1:57" ht="15" customHeight="1">
      <c r="A211" s="149" t="s">
        <v>187</v>
      </c>
      <c r="B211" s="150"/>
      <c r="C211" s="150"/>
      <c r="D211" s="151"/>
      <c r="E211" s="43">
        <v>30</v>
      </c>
      <c r="F211" s="23">
        <f t="shared" si="42"/>
        <v>0</v>
      </c>
      <c r="G211" s="14">
        <v>60</v>
      </c>
      <c r="H211" s="43"/>
      <c r="I211" s="14">
        <f t="shared" si="45"/>
        <v>0</v>
      </c>
      <c r="J211" s="33"/>
      <c r="K211" s="30"/>
    </row>
    <row r="212" spans="1:57" ht="15" customHeight="1">
      <c r="A212" s="149" t="s">
        <v>188</v>
      </c>
      <c r="B212" s="150"/>
      <c r="C212" s="150"/>
      <c r="D212" s="151"/>
      <c r="E212" s="43">
        <v>30</v>
      </c>
      <c r="F212" s="23">
        <f t="shared" si="42"/>
        <v>0</v>
      </c>
      <c r="G212" s="14">
        <v>80</v>
      </c>
      <c r="H212" s="43"/>
      <c r="I212" s="14">
        <f t="shared" si="45"/>
        <v>0</v>
      </c>
      <c r="J212" s="33"/>
      <c r="K212" s="30"/>
    </row>
    <row r="213" spans="1:57" ht="15" customHeight="1">
      <c r="A213" s="149" t="s">
        <v>189</v>
      </c>
      <c r="B213" s="150"/>
      <c r="C213" s="150"/>
      <c r="D213" s="151"/>
      <c r="E213" s="43">
        <v>30</v>
      </c>
      <c r="F213" s="23">
        <f t="shared" si="42"/>
        <v>0</v>
      </c>
      <c r="G213" s="14">
        <v>60</v>
      </c>
      <c r="H213" s="43"/>
      <c r="I213" s="14">
        <f t="shared" si="45"/>
        <v>0</v>
      </c>
      <c r="J213" s="33"/>
      <c r="K213" s="30"/>
    </row>
    <row r="214" spans="1:57" ht="15" customHeight="1">
      <c r="A214" s="149" t="s">
        <v>190</v>
      </c>
      <c r="B214" s="150"/>
      <c r="C214" s="150"/>
      <c r="D214" s="151"/>
      <c r="E214" s="43">
        <v>30</v>
      </c>
      <c r="F214" s="23">
        <f t="shared" si="42"/>
        <v>0</v>
      </c>
      <c r="G214" s="14">
        <v>150</v>
      </c>
      <c r="H214" s="43"/>
      <c r="I214" s="14">
        <f t="shared" si="45"/>
        <v>0</v>
      </c>
      <c r="J214" s="33"/>
      <c r="K214" s="30"/>
    </row>
    <row r="215" spans="1:57" ht="15" customHeight="1">
      <c r="A215" s="144" t="s">
        <v>191</v>
      </c>
      <c r="B215" s="145"/>
      <c r="C215" s="145"/>
      <c r="D215" s="145"/>
      <c r="E215" s="145"/>
      <c r="F215" s="145"/>
      <c r="G215" s="145"/>
      <c r="H215" s="145"/>
      <c r="I215" s="145"/>
      <c r="J215" s="146"/>
      <c r="K215" s="30"/>
    </row>
    <row r="216" spans="1:57" ht="15" customHeight="1">
      <c r="A216" s="147" t="s">
        <v>192</v>
      </c>
      <c r="B216" s="147"/>
      <c r="C216" s="147"/>
      <c r="D216" s="147"/>
      <c r="E216" s="43">
        <v>50</v>
      </c>
      <c r="F216" s="23">
        <f t="shared" si="42"/>
        <v>0</v>
      </c>
      <c r="G216" s="14">
        <v>75</v>
      </c>
      <c r="H216" s="43"/>
      <c r="I216" s="14">
        <f t="shared" ref="I216:I224" si="46">H216*G216</f>
        <v>0</v>
      </c>
      <c r="J216" s="33"/>
      <c r="K216" s="30"/>
    </row>
    <row r="217" spans="1:57" ht="15" customHeight="1">
      <c r="A217" s="147" t="s">
        <v>193</v>
      </c>
      <c r="B217" s="148"/>
      <c r="C217" s="148"/>
      <c r="D217" s="148"/>
      <c r="E217" s="43">
        <v>50</v>
      </c>
      <c r="F217" s="23">
        <f t="shared" si="42"/>
        <v>0</v>
      </c>
      <c r="G217" s="14">
        <v>75</v>
      </c>
      <c r="H217" s="43"/>
      <c r="I217" s="14">
        <f t="shared" si="46"/>
        <v>0</v>
      </c>
      <c r="J217" s="33"/>
      <c r="K217" s="30"/>
    </row>
    <row r="218" spans="1:57" ht="15" customHeight="1">
      <c r="A218" s="147" t="s">
        <v>194</v>
      </c>
      <c r="B218" s="148"/>
      <c r="C218" s="148"/>
      <c r="D218" s="148"/>
      <c r="E218" s="43">
        <v>50</v>
      </c>
      <c r="F218" s="23">
        <f t="shared" si="42"/>
        <v>0</v>
      </c>
      <c r="G218" s="14">
        <v>50</v>
      </c>
      <c r="H218" s="43"/>
      <c r="I218" s="14">
        <f t="shared" si="46"/>
        <v>0</v>
      </c>
      <c r="J218" s="33"/>
      <c r="K218" s="30"/>
    </row>
    <row r="219" spans="1:57" ht="15" customHeight="1">
      <c r="A219" s="149" t="s">
        <v>174</v>
      </c>
      <c r="B219" s="150"/>
      <c r="C219" s="150"/>
      <c r="D219" s="151"/>
      <c r="E219" s="43">
        <v>50</v>
      </c>
      <c r="F219" s="23">
        <f t="shared" si="42"/>
        <v>0</v>
      </c>
      <c r="G219" s="14">
        <v>50</v>
      </c>
      <c r="H219" s="43"/>
      <c r="I219" s="14">
        <f t="shared" si="46"/>
        <v>0</v>
      </c>
      <c r="J219" s="33"/>
      <c r="K219" s="30"/>
    </row>
    <row r="220" spans="1:57" ht="15" customHeight="1">
      <c r="A220" s="149" t="s">
        <v>195</v>
      </c>
      <c r="B220" s="150"/>
      <c r="C220" s="150"/>
      <c r="D220" s="151"/>
      <c r="E220" s="43">
        <v>50</v>
      </c>
      <c r="F220" s="23">
        <f t="shared" si="42"/>
        <v>0</v>
      </c>
      <c r="G220" s="14">
        <v>75</v>
      </c>
      <c r="H220" s="43"/>
      <c r="I220" s="14">
        <f t="shared" si="46"/>
        <v>0</v>
      </c>
      <c r="J220" s="33"/>
      <c r="K220" s="30"/>
    </row>
    <row r="221" spans="1:57" ht="15" customHeight="1">
      <c r="A221" s="149" t="s">
        <v>196</v>
      </c>
      <c r="B221" s="150"/>
      <c r="C221" s="150"/>
      <c r="D221" s="151"/>
      <c r="E221" s="43">
        <v>50</v>
      </c>
      <c r="F221" s="23">
        <f t="shared" si="42"/>
        <v>0</v>
      </c>
      <c r="G221" s="14">
        <v>75</v>
      </c>
      <c r="H221" s="43"/>
      <c r="I221" s="14">
        <f t="shared" si="46"/>
        <v>0</v>
      </c>
      <c r="J221" s="33"/>
      <c r="K221" s="30"/>
    </row>
    <row r="222" spans="1:57" ht="15" customHeight="1">
      <c r="A222" s="149" t="s">
        <v>197</v>
      </c>
      <c r="B222" s="150"/>
      <c r="C222" s="150"/>
      <c r="D222" s="151"/>
      <c r="E222" s="43">
        <v>50</v>
      </c>
      <c r="F222" s="23">
        <f t="shared" si="42"/>
        <v>0</v>
      </c>
      <c r="G222" s="14">
        <v>75</v>
      </c>
      <c r="H222" s="43"/>
      <c r="I222" s="14">
        <f t="shared" si="46"/>
        <v>0</v>
      </c>
      <c r="J222" s="33"/>
      <c r="K222" s="30"/>
    </row>
    <row r="223" spans="1:57" ht="15" customHeight="1">
      <c r="A223" s="149" t="s">
        <v>198</v>
      </c>
      <c r="B223" s="150"/>
      <c r="C223" s="150"/>
      <c r="D223" s="151"/>
      <c r="E223" s="43">
        <v>50</v>
      </c>
      <c r="F223" s="23">
        <f t="shared" si="42"/>
        <v>0</v>
      </c>
      <c r="G223" s="14">
        <v>75</v>
      </c>
      <c r="H223" s="43"/>
      <c r="I223" s="14">
        <f t="shared" si="46"/>
        <v>0</v>
      </c>
      <c r="J223" s="33"/>
      <c r="K223" s="30"/>
      <c r="AN223" s="30"/>
      <c r="AO223" s="30"/>
      <c r="BD223" s="30"/>
      <c r="BE223" s="30"/>
    </row>
    <row r="224" spans="1:57" ht="15" customHeight="1">
      <c r="A224" s="149" t="s">
        <v>177</v>
      </c>
      <c r="B224" s="150"/>
      <c r="C224" s="150"/>
      <c r="D224" s="151"/>
      <c r="E224" s="43">
        <v>50</v>
      </c>
      <c r="F224" s="23">
        <f t="shared" si="42"/>
        <v>0</v>
      </c>
      <c r="G224" s="14">
        <v>115</v>
      </c>
      <c r="H224" s="43"/>
      <c r="I224" s="14">
        <f t="shared" si="46"/>
        <v>0</v>
      </c>
      <c r="J224" s="33"/>
      <c r="K224" s="30"/>
      <c r="AN224" s="30"/>
      <c r="AO224" s="30"/>
      <c r="BD224" s="30"/>
      <c r="BE224" s="30"/>
    </row>
    <row r="225" spans="1:243" ht="15" customHeight="1">
      <c r="A225" s="144" t="s">
        <v>199</v>
      </c>
      <c r="B225" s="145"/>
      <c r="C225" s="145"/>
      <c r="D225" s="145"/>
      <c r="E225" s="145"/>
      <c r="F225" s="145"/>
      <c r="G225" s="145"/>
      <c r="H225" s="145"/>
      <c r="I225" s="145"/>
      <c r="J225" s="146"/>
      <c r="K225" s="30"/>
      <c r="AN225" s="30"/>
      <c r="AO225" s="30"/>
      <c r="BD225" s="30"/>
      <c r="BE225" s="30"/>
    </row>
    <row r="226" spans="1:243" ht="15" customHeight="1">
      <c r="A226" s="149" t="s">
        <v>200</v>
      </c>
      <c r="B226" s="150"/>
      <c r="C226" s="150"/>
      <c r="D226" s="151"/>
      <c r="E226" s="43">
        <v>820</v>
      </c>
      <c r="F226" s="23">
        <f t="shared" ref="F226" si="47">E226*H226/$D$10</f>
        <v>0</v>
      </c>
      <c r="G226" s="14">
        <v>600</v>
      </c>
      <c r="H226" s="43"/>
      <c r="I226" s="14">
        <f t="shared" ref="I226" si="48">H226*G226</f>
        <v>0</v>
      </c>
      <c r="J226" s="33"/>
      <c r="K226" s="30"/>
      <c r="AN226" s="30"/>
      <c r="AO226" s="30"/>
      <c r="BD226" s="30"/>
      <c r="BE226" s="30"/>
    </row>
    <row r="227" spans="1:243" ht="15" customHeight="1">
      <c r="A227" s="149" t="s">
        <v>201</v>
      </c>
      <c r="B227" s="150"/>
      <c r="C227" s="150"/>
      <c r="D227" s="151"/>
      <c r="E227" s="43">
        <v>80</v>
      </c>
      <c r="F227" s="23">
        <f t="shared" si="42"/>
        <v>0</v>
      </c>
      <c r="G227" s="14">
        <v>85</v>
      </c>
      <c r="H227" s="43"/>
      <c r="I227" s="14">
        <f t="shared" ref="I227:I233" si="49">H227*G227</f>
        <v>0</v>
      </c>
      <c r="J227" s="33"/>
      <c r="K227" s="30"/>
      <c r="AN227" s="30"/>
      <c r="AO227" s="30"/>
      <c r="BD227" s="30"/>
      <c r="BE227" s="30"/>
    </row>
    <row r="228" spans="1:243" ht="15" customHeight="1">
      <c r="A228" s="149" t="s">
        <v>202</v>
      </c>
      <c r="B228" s="150"/>
      <c r="C228" s="150"/>
      <c r="D228" s="151"/>
      <c r="E228" s="43">
        <v>70</v>
      </c>
      <c r="F228" s="23">
        <f t="shared" si="42"/>
        <v>0</v>
      </c>
      <c r="G228" s="14">
        <v>115</v>
      </c>
      <c r="H228" s="43"/>
      <c r="I228" s="14">
        <f t="shared" si="49"/>
        <v>0</v>
      </c>
      <c r="J228" s="33"/>
      <c r="K228" s="30"/>
    </row>
    <row r="229" spans="1:243" ht="15" customHeight="1">
      <c r="A229" s="149" t="s">
        <v>203</v>
      </c>
      <c r="B229" s="150"/>
      <c r="C229" s="150"/>
      <c r="D229" s="151"/>
      <c r="E229" s="43">
        <v>80</v>
      </c>
      <c r="F229" s="23">
        <f t="shared" si="42"/>
        <v>0</v>
      </c>
      <c r="G229" s="14">
        <v>140</v>
      </c>
      <c r="H229" s="43"/>
      <c r="I229" s="14">
        <f t="shared" si="49"/>
        <v>0</v>
      </c>
      <c r="J229" s="33"/>
      <c r="K229" s="30"/>
    </row>
    <row r="230" spans="1:243" ht="15" customHeight="1">
      <c r="A230" s="149" t="s">
        <v>204</v>
      </c>
      <c r="B230" s="150"/>
      <c r="C230" s="150"/>
      <c r="D230" s="151"/>
      <c r="E230" s="43">
        <v>80</v>
      </c>
      <c r="F230" s="23">
        <f t="shared" si="42"/>
        <v>0</v>
      </c>
      <c r="G230" s="14">
        <v>210</v>
      </c>
      <c r="H230" s="43"/>
      <c r="I230" s="14">
        <f t="shared" si="49"/>
        <v>0</v>
      </c>
      <c r="J230" s="33"/>
      <c r="K230" s="30"/>
    </row>
    <row r="231" spans="1:243" ht="15" customHeight="1">
      <c r="A231" s="149" t="s">
        <v>205</v>
      </c>
      <c r="B231" s="150"/>
      <c r="C231" s="150"/>
      <c r="D231" s="151"/>
      <c r="E231" s="43">
        <v>80</v>
      </c>
      <c r="F231" s="23">
        <f t="shared" si="42"/>
        <v>0</v>
      </c>
      <c r="G231" s="14">
        <v>150</v>
      </c>
      <c r="H231" s="43"/>
      <c r="I231" s="14">
        <f t="shared" si="49"/>
        <v>0</v>
      </c>
      <c r="J231" s="33"/>
      <c r="K231" s="30"/>
    </row>
    <row r="232" spans="1:243" s="2" customFormat="1" ht="15" customHeight="1">
      <c r="A232" s="149" t="s">
        <v>206</v>
      </c>
      <c r="B232" s="150"/>
      <c r="C232" s="150"/>
      <c r="D232" s="151"/>
      <c r="E232" s="43">
        <v>320</v>
      </c>
      <c r="F232" s="23">
        <f t="shared" si="42"/>
        <v>0</v>
      </c>
      <c r="G232" s="14">
        <v>220</v>
      </c>
      <c r="H232" s="43"/>
      <c r="I232" s="14">
        <f t="shared" si="49"/>
        <v>0</v>
      </c>
      <c r="J232" s="33"/>
      <c r="K232" s="30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  <c r="BL232" s="6"/>
      <c r="BM232" s="6"/>
      <c r="BN232" s="6"/>
      <c r="BO232" s="6"/>
      <c r="BP232" s="6"/>
      <c r="BQ232" s="6"/>
      <c r="BR232" s="6"/>
      <c r="BS232" s="6"/>
      <c r="BT232" s="6"/>
      <c r="BU232" s="6"/>
      <c r="BV232" s="6"/>
      <c r="BW232" s="6"/>
      <c r="BX232" s="6"/>
      <c r="BY232" s="6"/>
      <c r="BZ232" s="6"/>
      <c r="CA232" s="6"/>
      <c r="CB232" s="6"/>
      <c r="CC232" s="6"/>
      <c r="CD232" s="6"/>
      <c r="CE232" s="6"/>
      <c r="CF232" s="6"/>
      <c r="CG232" s="6"/>
      <c r="CH232" s="6"/>
      <c r="CI232" s="6"/>
      <c r="CJ232" s="6"/>
      <c r="CK232" s="6"/>
      <c r="CL232" s="6"/>
      <c r="CM232" s="6"/>
      <c r="CN232" s="6"/>
      <c r="CO232" s="6"/>
      <c r="CP232" s="6"/>
      <c r="CQ232" s="6"/>
      <c r="CR232" s="6"/>
      <c r="CS232" s="6"/>
      <c r="CT232" s="6"/>
      <c r="CU232" s="6"/>
      <c r="CV232" s="6"/>
      <c r="CW232" s="6"/>
      <c r="CX232" s="6"/>
      <c r="CY232" s="6"/>
      <c r="CZ232" s="6"/>
      <c r="DA232" s="6"/>
      <c r="DB232" s="6"/>
      <c r="DC232" s="6"/>
      <c r="DD232" s="6"/>
      <c r="DE232" s="6"/>
      <c r="DF232" s="6"/>
      <c r="DG232" s="6"/>
      <c r="DH232" s="6"/>
      <c r="DI232" s="6"/>
      <c r="DJ232" s="6"/>
      <c r="DK232" s="6"/>
      <c r="DL232" s="6"/>
      <c r="DM232" s="6"/>
      <c r="DN232" s="6"/>
      <c r="DO232" s="6"/>
      <c r="DP232" s="6"/>
      <c r="DQ232" s="6"/>
      <c r="DR232" s="6"/>
      <c r="DS232" s="6"/>
      <c r="DT232" s="6"/>
      <c r="DU232" s="6"/>
      <c r="DV232" s="6"/>
      <c r="DW232" s="6"/>
      <c r="DX232" s="6"/>
      <c r="DY232" s="6"/>
      <c r="DZ232" s="6"/>
      <c r="EA232" s="6"/>
      <c r="EB232" s="6"/>
      <c r="EC232" s="6"/>
      <c r="ED232" s="6"/>
      <c r="EE232" s="6"/>
      <c r="EF232" s="6"/>
      <c r="EG232" s="6"/>
      <c r="EH232" s="6"/>
      <c r="EI232" s="6"/>
      <c r="EJ232" s="6"/>
      <c r="EK232" s="6"/>
      <c r="EL232" s="6"/>
      <c r="EM232" s="6"/>
      <c r="EN232" s="6"/>
      <c r="EO232" s="6"/>
      <c r="EP232" s="6"/>
      <c r="EQ232" s="6"/>
      <c r="ER232" s="6"/>
      <c r="ES232" s="6"/>
      <c r="ET232" s="6"/>
      <c r="EU232" s="6"/>
      <c r="EV232" s="6"/>
      <c r="EW232" s="6"/>
      <c r="EX232" s="6"/>
      <c r="EY232" s="6"/>
      <c r="EZ232" s="6"/>
      <c r="FA232" s="6"/>
      <c r="FB232" s="6"/>
      <c r="FC232" s="6"/>
      <c r="FD232" s="6"/>
      <c r="FE232" s="6"/>
      <c r="FF232" s="6"/>
      <c r="FG232" s="6"/>
      <c r="FH232" s="6"/>
      <c r="FI232" s="6"/>
      <c r="FJ232" s="6"/>
      <c r="FK232" s="6"/>
      <c r="FL232" s="6"/>
      <c r="FM232" s="6"/>
      <c r="FN232" s="6"/>
      <c r="FO232" s="6"/>
      <c r="FP232" s="6"/>
      <c r="FQ232" s="6"/>
      <c r="FR232" s="6"/>
      <c r="FS232" s="6"/>
      <c r="FT232" s="6"/>
      <c r="FU232" s="6"/>
      <c r="FV232" s="6"/>
      <c r="FW232" s="6"/>
      <c r="FX232" s="6"/>
      <c r="FY232" s="6"/>
      <c r="FZ232" s="6"/>
      <c r="GA232" s="6"/>
      <c r="GB232" s="6"/>
      <c r="GC232" s="6"/>
      <c r="GD232" s="6"/>
      <c r="GE232" s="6"/>
      <c r="GF232" s="6"/>
      <c r="GG232" s="6"/>
      <c r="GH232" s="6"/>
      <c r="GI232" s="6"/>
      <c r="GJ232" s="6"/>
      <c r="GK232" s="6"/>
      <c r="GL232" s="6"/>
      <c r="GM232" s="6"/>
      <c r="GN232" s="6"/>
      <c r="GO232" s="6"/>
      <c r="GP232" s="6"/>
      <c r="GQ232" s="6"/>
      <c r="GR232" s="6"/>
      <c r="GS232" s="6"/>
      <c r="GT232" s="6"/>
      <c r="GU232" s="6"/>
      <c r="GV232" s="6"/>
      <c r="GW232" s="6"/>
      <c r="GX232" s="6"/>
      <c r="GY232" s="6"/>
      <c r="GZ232" s="6"/>
      <c r="HA232" s="6"/>
      <c r="HB232" s="6"/>
      <c r="HC232" s="6"/>
      <c r="HD232" s="6"/>
      <c r="HE232" s="6"/>
      <c r="HF232" s="6"/>
      <c r="HG232" s="6"/>
      <c r="HH232" s="6"/>
      <c r="HI232" s="6"/>
      <c r="HJ232" s="6"/>
      <c r="HK232" s="6"/>
      <c r="HL232" s="6"/>
      <c r="HM232" s="6"/>
      <c r="HN232" s="6"/>
      <c r="HO232" s="6"/>
      <c r="HP232" s="6"/>
      <c r="HQ232" s="6"/>
      <c r="HR232" s="6"/>
      <c r="HS232" s="6"/>
      <c r="HT232" s="6"/>
      <c r="HU232" s="6"/>
      <c r="HV232" s="6"/>
      <c r="HW232" s="6"/>
      <c r="HX232" s="6"/>
      <c r="HY232" s="6"/>
      <c r="HZ232" s="6"/>
      <c r="IA232" s="6"/>
      <c r="IB232" s="6"/>
      <c r="IC232" s="6"/>
      <c r="ID232" s="6"/>
      <c r="IE232" s="6"/>
      <c r="IF232" s="6"/>
      <c r="IG232" s="6"/>
      <c r="IH232" s="6"/>
      <c r="II232" s="6"/>
    </row>
    <row r="233" spans="1:243" s="2" customFormat="1" ht="15" customHeight="1">
      <c r="A233" s="149" t="s">
        <v>207</v>
      </c>
      <c r="B233" s="150"/>
      <c r="C233" s="150"/>
      <c r="D233" s="151"/>
      <c r="E233" s="43">
        <v>90</v>
      </c>
      <c r="F233" s="23">
        <f t="shared" si="42"/>
        <v>0</v>
      </c>
      <c r="G233" s="14">
        <v>85</v>
      </c>
      <c r="H233" s="43"/>
      <c r="I233" s="14">
        <f t="shared" si="49"/>
        <v>0</v>
      </c>
      <c r="J233" s="33"/>
      <c r="K233" s="30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  <c r="BL233" s="6"/>
      <c r="BM233" s="6"/>
      <c r="BN233" s="6"/>
      <c r="BO233" s="6"/>
      <c r="BP233" s="6"/>
      <c r="BQ233" s="6"/>
      <c r="BR233" s="6"/>
      <c r="BS233" s="6"/>
      <c r="BT233" s="6"/>
      <c r="BU233" s="6"/>
      <c r="BV233" s="6"/>
      <c r="BW233" s="6"/>
      <c r="BX233" s="6"/>
      <c r="BY233" s="6"/>
      <c r="BZ233" s="6"/>
      <c r="CA233" s="6"/>
      <c r="CB233" s="6"/>
      <c r="CC233" s="6"/>
      <c r="CD233" s="6"/>
      <c r="CE233" s="6"/>
      <c r="CF233" s="6"/>
      <c r="CG233" s="6"/>
      <c r="CH233" s="6"/>
      <c r="CI233" s="6"/>
      <c r="CJ233" s="6"/>
      <c r="CK233" s="6"/>
      <c r="CL233" s="6"/>
      <c r="CM233" s="6"/>
      <c r="CN233" s="6"/>
      <c r="CO233" s="6"/>
      <c r="CP233" s="6"/>
      <c r="CQ233" s="6"/>
      <c r="CR233" s="6"/>
      <c r="CS233" s="6"/>
      <c r="CT233" s="6"/>
      <c r="CU233" s="6"/>
      <c r="CV233" s="6"/>
      <c r="CW233" s="6"/>
      <c r="CX233" s="6"/>
      <c r="CY233" s="6"/>
      <c r="CZ233" s="6"/>
      <c r="DA233" s="6"/>
      <c r="DB233" s="6"/>
      <c r="DC233" s="6"/>
      <c r="DD233" s="6"/>
      <c r="DE233" s="6"/>
      <c r="DF233" s="6"/>
      <c r="DG233" s="6"/>
      <c r="DH233" s="6"/>
      <c r="DI233" s="6"/>
      <c r="DJ233" s="6"/>
      <c r="DK233" s="6"/>
      <c r="DL233" s="6"/>
      <c r="DM233" s="6"/>
      <c r="DN233" s="6"/>
      <c r="DO233" s="6"/>
      <c r="DP233" s="6"/>
      <c r="DQ233" s="6"/>
      <c r="DR233" s="6"/>
      <c r="DS233" s="6"/>
      <c r="DT233" s="6"/>
      <c r="DU233" s="6"/>
      <c r="DV233" s="6"/>
      <c r="DW233" s="6"/>
      <c r="DX233" s="6"/>
      <c r="DY233" s="6"/>
      <c r="DZ233" s="6"/>
      <c r="EA233" s="6"/>
      <c r="EB233" s="6"/>
      <c r="EC233" s="6"/>
      <c r="ED233" s="6"/>
      <c r="EE233" s="6"/>
      <c r="EF233" s="6"/>
      <c r="EG233" s="6"/>
      <c r="EH233" s="6"/>
      <c r="EI233" s="6"/>
      <c r="EJ233" s="6"/>
      <c r="EK233" s="6"/>
      <c r="EL233" s="6"/>
      <c r="EM233" s="6"/>
      <c r="EN233" s="6"/>
      <c r="EO233" s="6"/>
      <c r="EP233" s="6"/>
      <c r="EQ233" s="6"/>
      <c r="ER233" s="6"/>
      <c r="ES233" s="6"/>
      <c r="ET233" s="6"/>
      <c r="EU233" s="6"/>
      <c r="EV233" s="6"/>
      <c r="EW233" s="6"/>
      <c r="EX233" s="6"/>
      <c r="EY233" s="6"/>
      <c r="EZ233" s="6"/>
      <c r="FA233" s="6"/>
      <c r="FB233" s="6"/>
      <c r="FC233" s="6"/>
      <c r="FD233" s="6"/>
      <c r="FE233" s="6"/>
      <c r="FF233" s="6"/>
      <c r="FG233" s="6"/>
      <c r="FH233" s="6"/>
      <c r="FI233" s="6"/>
      <c r="FJ233" s="6"/>
      <c r="FK233" s="6"/>
      <c r="FL233" s="6"/>
      <c r="FM233" s="6"/>
      <c r="FN233" s="6"/>
      <c r="FO233" s="6"/>
      <c r="FP233" s="6"/>
      <c r="FQ233" s="6"/>
      <c r="FR233" s="6"/>
      <c r="FS233" s="6"/>
      <c r="FT233" s="6"/>
      <c r="FU233" s="6"/>
      <c r="FV233" s="6"/>
      <c r="FW233" s="6"/>
      <c r="FX233" s="6"/>
      <c r="FY233" s="6"/>
      <c r="FZ233" s="6"/>
      <c r="GA233" s="6"/>
      <c r="GB233" s="6"/>
      <c r="GC233" s="6"/>
      <c r="GD233" s="6"/>
      <c r="GE233" s="6"/>
      <c r="GF233" s="6"/>
      <c r="GG233" s="6"/>
      <c r="GH233" s="6"/>
      <c r="GI233" s="6"/>
      <c r="GJ233" s="6"/>
      <c r="GK233" s="6"/>
      <c r="GL233" s="6"/>
      <c r="GM233" s="6"/>
      <c r="GN233" s="6"/>
      <c r="GO233" s="6"/>
      <c r="GP233" s="6"/>
      <c r="GQ233" s="6"/>
      <c r="GR233" s="6"/>
      <c r="GS233" s="6"/>
      <c r="GT233" s="6"/>
      <c r="GU233" s="6"/>
      <c r="GV233" s="6"/>
      <c r="GW233" s="6"/>
      <c r="GX233" s="6"/>
      <c r="GY233" s="6"/>
      <c r="GZ233" s="6"/>
      <c r="HA233" s="6"/>
      <c r="HB233" s="6"/>
      <c r="HC233" s="6"/>
      <c r="HD233" s="6"/>
      <c r="HE233" s="6"/>
      <c r="HF233" s="6"/>
      <c r="HG233" s="6"/>
      <c r="HH233" s="6"/>
      <c r="HI233" s="6"/>
      <c r="HJ233" s="6"/>
      <c r="HK233" s="6"/>
      <c r="HL233" s="6"/>
      <c r="HM233" s="6"/>
      <c r="HN233" s="6"/>
      <c r="HO233" s="6"/>
      <c r="HP233" s="6"/>
      <c r="HQ233" s="6"/>
      <c r="HR233" s="6"/>
      <c r="HS233" s="6"/>
      <c r="HT233" s="6"/>
      <c r="HU233" s="6"/>
      <c r="HV233" s="6"/>
      <c r="HW233" s="6"/>
      <c r="HX233" s="6"/>
      <c r="HY233" s="6"/>
      <c r="HZ233" s="6"/>
      <c r="IA233" s="6"/>
      <c r="IB233" s="6"/>
      <c r="IC233" s="6"/>
      <c r="ID233" s="6"/>
      <c r="IE233" s="6"/>
      <c r="IF233" s="6"/>
      <c r="IG233" s="6"/>
      <c r="IH233" s="6"/>
      <c r="II233" s="6"/>
    </row>
    <row r="234" spans="1:243" s="2" customFormat="1" ht="15" customHeight="1">
      <c r="A234" s="144" t="s">
        <v>208</v>
      </c>
      <c r="B234" s="145"/>
      <c r="C234" s="145"/>
      <c r="D234" s="145"/>
      <c r="E234" s="145"/>
      <c r="F234" s="145"/>
      <c r="G234" s="145"/>
      <c r="H234" s="145"/>
      <c r="I234" s="145"/>
      <c r="J234" s="146"/>
      <c r="K234" s="30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  <c r="BL234" s="6"/>
      <c r="BM234" s="6"/>
      <c r="BN234" s="6"/>
      <c r="BO234" s="6"/>
      <c r="BP234" s="6"/>
      <c r="BQ234" s="6"/>
      <c r="BR234" s="6"/>
      <c r="BS234" s="6"/>
      <c r="BT234" s="6"/>
      <c r="BU234" s="6"/>
      <c r="BV234" s="6"/>
      <c r="BW234" s="6"/>
      <c r="BX234" s="6"/>
      <c r="BY234" s="6"/>
      <c r="BZ234" s="6"/>
      <c r="CA234" s="6"/>
      <c r="CB234" s="6"/>
      <c r="CC234" s="6"/>
      <c r="CD234" s="6"/>
      <c r="CE234" s="6"/>
      <c r="CF234" s="6"/>
      <c r="CG234" s="6"/>
      <c r="CH234" s="6"/>
      <c r="CI234" s="6"/>
      <c r="CJ234" s="6"/>
      <c r="CK234" s="6"/>
      <c r="CL234" s="6"/>
      <c r="CM234" s="6"/>
      <c r="CN234" s="6"/>
      <c r="CO234" s="6"/>
      <c r="CP234" s="6"/>
      <c r="CQ234" s="6"/>
      <c r="CR234" s="6"/>
      <c r="CS234" s="6"/>
      <c r="CT234" s="6"/>
      <c r="CU234" s="6"/>
      <c r="CV234" s="6"/>
      <c r="CW234" s="6"/>
      <c r="CX234" s="6"/>
      <c r="CY234" s="6"/>
      <c r="CZ234" s="6"/>
      <c r="DA234" s="6"/>
      <c r="DB234" s="6"/>
      <c r="DC234" s="6"/>
      <c r="DD234" s="6"/>
      <c r="DE234" s="6"/>
      <c r="DF234" s="6"/>
      <c r="DG234" s="6"/>
      <c r="DH234" s="6"/>
      <c r="DI234" s="6"/>
      <c r="DJ234" s="6"/>
      <c r="DK234" s="6"/>
      <c r="DL234" s="6"/>
      <c r="DM234" s="6"/>
      <c r="DN234" s="6"/>
      <c r="DO234" s="6"/>
      <c r="DP234" s="6"/>
      <c r="DQ234" s="6"/>
      <c r="DR234" s="6"/>
      <c r="DS234" s="6"/>
      <c r="DT234" s="6"/>
      <c r="DU234" s="6"/>
      <c r="DV234" s="6"/>
      <c r="DW234" s="6"/>
      <c r="DX234" s="6"/>
      <c r="DY234" s="6"/>
      <c r="DZ234" s="6"/>
      <c r="EA234" s="6"/>
      <c r="EB234" s="6"/>
      <c r="EC234" s="6"/>
      <c r="ED234" s="6"/>
      <c r="EE234" s="6"/>
      <c r="EF234" s="6"/>
      <c r="EG234" s="6"/>
      <c r="EH234" s="6"/>
      <c r="EI234" s="6"/>
      <c r="EJ234" s="6"/>
      <c r="EK234" s="6"/>
      <c r="EL234" s="6"/>
      <c r="EM234" s="6"/>
      <c r="EN234" s="6"/>
      <c r="EO234" s="6"/>
      <c r="EP234" s="6"/>
      <c r="EQ234" s="6"/>
      <c r="ER234" s="6"/>
      <c r="ES234" s="6"/>
      <c r="ET234" s="6"/>
      <c r="EU234" s="6"/>
      <c r="EV234" s="6"/>
      <c r="EW234" s="6"/>
      <c r="EX234" s="6"/>
      <c r="EY234" s="6"/>
      <c r="EZ234" s="6"/>
      <c r="FA234" s="6"/>
      <c r="FB234" s="6"/>
      <c r="FC234" s="6"/>
      <c r="FD234" s="6"/>
      <c r="FE234" s="6"/>
      <c r="FF234" s="6"/>
      <c r="FG234" s="6"/>
      <c r="FH234" s="6"/>
      <c r="FI234" s="6"/>
      <c r="FJ234" s="6"/>
      <c r="FK234" s="6"/>
      <c r="FL234" s="6"/>
      <c r="FM234" s="6"/>
      <c r="FN234" s="6"/>
      <c r="FO234" s="6"/>
      <c r="FP234" s="6"/>
      <c r="FQ234" s="6"/>
      <c r="FR234" s="6"/>
      <c r="FS234" s="6"/>
      <c r="FT234" s="6"/>
      <c r="FU234" s="6"/>
      <c r="FV234" s="6"/>
      <c r="FW234" s="6"/>
      <c r="FX234" s="6"/>
      <c r="FY234" s="6"/>
      <c r="FZ234" s="6"/>
      <c r="GA234" s="6"/>
      <c r="GB234" s="6"/>
      <c r="GC234" s="6"/>
      <c r="GD234" s="6"/>
      <c r="GE234" s="6"/>
      <c r="GF234" s="6"/>
      <c r="GG234" s="6"/>
      <c r="GH234" s="6"/>
      <c r="GI234" s="6"/>
      <c r="GJ234" s="6"/>
      <c r="GK234" s="6"/>
      <c r="GL234" s="6"/>
      <c r="GM234" s="6"/>
      <c r="GN234" s="6"/>
      <c r="GO234" s="6"/>
      <c r="GP234" s="6"/>
      <c r="GQ234" s="6"/>
      <c r="GR234" s="6"/>
      <c r="GS234" s="6"/>
      <c r="GT234" s="6"/>
      <c r="GU234" s="6"/>
      <c r="GV234" s="6"/>
      <c r="GW234" s="6"/>
      <c r="GX234" s="6"/>
      <c r="GY234" s="6"/>
      <c r="GZ234" s="6"/>
      <c r="HA234" s="6"/>
      <c r="HB234" s="6"/>
      <c r="HC234" s="6"/>
      <c r="HD234" s="6"/>
      <c r="HE234" s="6"/>
      <c r="HF234" s="6"/>
      <c r="HG234" s="6"/>
      <c r="HH234" s="6"/>
      <c r="HI234" s="6"/>
      <c r="HJ234" s="6"/>
      <c r="HK234" s="6"/>
      <c r="HL234" s="6"/>
      <c r="HM234" s="6"/>
      <c r="HN234" s="6"/>
      <c r="HO234" s="6"/>
      <c r="HP234" s="6"/>
      <c r="HQ234" s="6"/>
      <c r="HR234" s="6"/>
      <c r="HS234" s="6"/>
      <c r="HT234" s="6"/>
      <c r="HU234" s="6"/>
      <c r="HV234" s="6"/>
      <c r="HW234" s="6"/>
      <c r="HX234" s="6"/>
      <c r="HY234" s="6"/>
      <c r="HZ234" s="6"/>
      <c r="IA234" s="6"/>
      <c r="IB234" s="6"/>
      <c r="IC234" s="6"/>
      <c r="ID234" s="6"/>
      <c r="IE234" s="6"/>
      <c r="IF234" s="6"/>
      <c r="IG234" s="6"/>
      <c r="IH234" s="6"/>
      <c r="II234" s="6"/>
    </row>
    <row r="235" spans="1:243" ht="15" customHeight="1">
      <c r="A235" s="149" t="s">
        <v>209</v>
      </c>
      <c r="B235" s="150"/>
      <c r="C235" s="150"/>
      <c r="D235" s="151"/>
      <c r="E235" s="43">
        <v>150</v>
      </c>
      <c r="F235" s="23">
        <f t="shared" si="42"/>
        <v>0</v>
      </c>
      <c r="G235" s="14">
        <v>340</v>
      </c>
      <c r="H235" s="43"/>
      <c r="I235" s="14">
        <f t="shared" ref="I235:I240" si="50">H235*G235</f>
        <v>0</v>
      </c>
      <c r="J235" s="33"/>
      <c r="K235" s="30"/>
    </row>
    <row r="236" spans="1:243" ht="15" customHeight="1">
      <c r="A236" s="149" t="s">
        <v>210</v>
      </c>
      <c r="B236" s="150"/>
      <c r="C236" s="150"/>
      <c r="D236" s="151"/>
      <c r="E236" s="43">
        <v>150</v>
      </c>
      <c r="F236" s="23">
        <f t="shared" si="42"/>
        <v>0</v>
      </c>
      <c r="G236" s="14">
        <v>250</v>
      </c>
      <c r="H236" s="43"/>
      <c r="I236" s="14">
        <f t="shared" si="50"/>
        <v>0</v>
      </c>
      <c r="J236" s="33"/>
      <c r="K236" s="30"/>
    </row>
    <row r="237" spans="1:243" ht="15" customHeight="1">
      <c r="A237" s="149" t="s">
        <v>211</v>
      </c>
      <c r="B237" s="150"/>
      <c r="C237" s="150"/>
      <c r="D237" s="151"/>
      <c r="E237" s="43">
        <v>150</v>
      </c>
      <c r="F237" s="23">
        <f t="shared" si="42"/>
        <v>0</v>
      </c>
      <c r="G237" s="14">
        <v>250</v>
      </c>
      <c r="H237" s="43"/>
      <c r="I237" s="14">
        <f t="shared" si="50"/>
        <v>0</v>
      </c>
      <c r="J237" s="33"/>
      <c r="K237" s="30"/>
    </row>
    <row r="238" spans="1:243" ht="15" customHeight="1">
      <c r="A238" s="149" t="s">
        <v>212</v>
      </c>
      <c r="B238" s="150"/>
      <c r="C238" s="150"/>
      <c r="D238" s="151"/>
      <c r="E238" s="43">
        <v>150</v>
      </c>
      <c r="F238" s="23">
        <f t="shared" si="42"/>
        <v>0</v>
      </c>
      <c r="G238" s="14">
        <v>350</v>
      </c>
      <c r="H238" s="43"/>
      <c r="I238" s="14">
        <f t="shared" si="50"/>
        <v>0</v>
      </c>
      <c r="J238" s="33"/>
      <c r="K238" s="30"/>
    </row>
    <row r="239" spans="1:243" ht="15" customHeight="1">
      <c r="A239" s="149" t="s">
        <v>213</v>
      </c>
      <c r="B239" s="150"/>
      <c r="C239" s="150"/>
      <c r="D239" s="151"/>
      <c r="E239" s="43">
        <v>150</v>
      </c>
      <c r="F239" s="23">
        <f t="shared" si="42"/>
        <v>0</v>
      </c>
      <c r="G239" s="14">
        <v>250</v>
      </c>
      <c r="H239" s="43"/>
      <c r="I239" s="14">
        <f t="shared" si="50"/>
        <v>0</v>
      </c>
      <c r="J239" s="33"/>
      <c r="K239" s="30"/>
    </row>
    <row r="240" spans="1:243" ht="15" customHeight="1">
      <c r="A240" s="149" t="s">
        <v>214</v>
      </c>
      <c r="B240" s="150"/>
      <c r="C240" s="150"/>
      <c r="D240" s="151"/>
      <c r="E240" s="43">
        <v>150</v>
      </c>
      <c r="F240" s="23">
        <f t="shared" si="42"/>
        <v>0</v>
      </c>
      <c r="G240" s="14">
        <v>320</v>
      </c>
      <c r="H240" s="43"/>
      <c r="I240" s="14">
        <f t="shared" si="50"/>
        <v>0</v>
      </c>
      <c r="J240" s="33"/>
      <c r="K240" s="30"/>
    </row>
    <row r="241" spans="1:243" ht="15" customHeight="1">
      <c r="A241" s="144" t="s">
        <v>215</v>
      </c>
      <c r="B241" s="145"/>
      <c r="C241" s="145"/>
      <c r="D241" s="145"/>
      <c r="E241" s="145"/>
      <c r="F241" s="145"/>
      <c r="G241" s="145"/>
      <c r="H241" s="145"/>
      <c r="I241" s="145"/>
      <c r="J241" s="146"/>
      <c r="K241" s="30"/>
    </row>
    <row r="242" spans="1:243" s="5" customFormat="1" ht="15" customHeight="1">
      <c r="A242" s="135" t="s">
        <v>216</v>
      </c>
      <c r="B242" s="136" t="s">
        <v>217</v>
      </c>
      <c r="C242" s="136" t="s">
        <v>217</v>
      </c>
      <c r="D242" s="137" t="s">
        <v>217</v>
      </c>
      <c r="E242" s="70">
        <v>75</v>
      </c>
      <c r="F242" s="23">
        <f t="shared" si="42"/>
        <v>0</v>
      </c>
      <c r="G242" s="14">
        <v>180</v>
      </c>
      <c r="H242" s="71"/>
      <c r="I242" s="14">
        <f t="shared" ref="I242:I247" si="51">H242*G242</f>
        <v>0</v>
      </c>
      <c r="J242" s="33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  <c r="AB242" s="30"/>
      <c r="AC242" s="30"/>
      <c r="AD242" s="30"/>
      <c r="AE242" s="30"/>
      <c r="AF242" s="30"/>
      <c r="AG242" s="30"/>
      <c r="AH242" s="30"/>
      <c r="AI242" s="30"/>
      <c r="AJ242" s="30"/>
      <c r="AK242" s="30"/>
      <c r="AL242" s="30"/>
      <c r="AM242" s="30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30"/>
      <c r="BG242" s="30"/>
      <c r="BH242" s="30"/>
      <c r="BI242" s="30"/>
      <c r="BJ242" s="30"/>
      <c r="BK242" s="30"/>
      <c r="BL242" s="30"/>
      <c r="BM242" s="30"/>
      <c r="BN242" s="30"/>
      <c r="BO242" s="30"/>
      <c r="BP242" s="30"/>
      <c r="BQ242" s="30"/>
      <c r="BR242" s="30"/>
      <c r="BS242" s="30"/>
      <c r="BT242" s="30"/>
      <c r="BU242" s="30"/>
      <c r="BV242" s="30"/>
      <c r="BW242" s="30"/>
      <c r="BX242" s="30"/>
      <c r="BY242" s="30"/>
      <c r="BZ242" s="30"/>
      <c r="CA242" s="30"/>
      <c r="CB242" s="30"/>
      <c r="CC242" s="30"/>
      <c r="CD242" s="30"/>
      <c r="CE242" s="30"/>
      <c r="CF242" s="30"/>
      <c r="CG242" s="30"/>
      <c r="CH242" s="30"/>
      <c r="CI242" s="30"/>
      <c r="CJ242" s="30"/>
      <c r="CK242" s="30"/>
      <c r="CL242" s="30"/>
      <c r="CM242" s="30"/>
      <c r="CN242" s="30"/>
      <c r="CO242" s="30"/>
      <c r="CP242" s="30"/>
      <c r="CQ242" s="30"/>
      <c r="CR242" s="30"/>
      <c r="CS242" s="30"/>
      <c r="CT242" s="30"/>
      <c r="CU242" s="30"/>
      <c r="CV242" s="30"/>
      <c r="CW242" s="30"/>
      <c r="CX242" s="30"/>
      <c r="CY242" s="30"/>
      <c r="CZ242" s="30"/>
      <c r="DA242" s="30"/>
      <c r="DB242" s="30"/>
      <c r="DC242" s="30"/>
      <c r="DD242" s="30"/>
      <c r="DE242" s="30"/>
      <c r="DF242" s="30"/>
      <c r="DG242" s="30"/>
      <c r="DH242" s="30"/>
      <c r="DI242" s="30"/>
      <c r="DJ242" s="30"/>
      <c r="DK242" s="30"/>
      <c r="DL242" s="30"/>
      <c r="DM242" s="30"/>
      <c r="DN242" s="30"/>
      <c r="DO242" s="30"/>
      <c r="DP242" s="30"/>
      <c r="DQ242" s="30"/>
      <c r="DR242" s="30"/>
      <c r="DS242" s="30"/>
      <c r="DT242" s="30"/>
      <c r="DU242" s="30"/>
      <c r="DV242" s="30"/>
      <c r="DW242" s="30"/>
      <c r="DX242" s="30"/>
      <c r="DY242" s="30"/>
      <c r="DZ242" s="30"/>
      <c r="EA242" s="30"/>
      <c r="EB242" s="30"/>
      <c r="EC242" s="30"/>
      <c r="ED242" s="30"/>
      <c r="EE242" s="30"/>
      <c r="EF242" s="30"/>
      <c r="EG242" s="30"/>
      <c r="EH242" s="30"/>
      <c r="EI242" s="30"/>
      <c r="EJ242" s="30"/>
      <c r="EK242" s="30"/>
      <c r="EL242" s="30"/>
      <c r="EM242" s="30"/>
      <c r="EN242" s="30"/>
      <c r="EO242" s="30"/>
      <c r="EP242" s="30"/>
      <c r="EQ242" s="30"/>
      <c r="ER242" s="30"/>
      <c r="ES242" s="30"/>
      <c r="ET242" s="30"/>
      <c r="EU242" s="30"/>
      <c r="EV242" s="30"/>
      <c r="EW242" s="30"/>
      <c r="EX242" s="30"/>
      <c r="EY242" s="30"/>
      <c r="EZ242" s="30"/>
      <c r="FA242" s="30"/>
      <c r="FB242" s="30"/>
      <c r="FC242" s="30"/>
      <c r="FD242" s="30"/>
      <c r="FE242" s="30"/>
      <c r="FF242" s="30"/>
      <c r="FG242" s="30"/>
      <c r="FH242" s="30"/>
      <c r="FI242" s="30"/>
      <c r="FJ242" s="30"/>
      <c r="FK242" s="30"/>
      <c r="FL242" s="30"/>
      <c r="FM242" s="30"/>
      <c r="FN242" s="30"/>
      <c r="FO242" s="30"/>
      <c r="FP242" s="30"/>
      <c r="FQ242" s="30"/>
      <c r="FR242" s="30"/>
      <c r="FS242" s="30"/>
      <c r="FT242" s="30"/>
      <c r="FU242" s="30"/>
      <c r="FV242" s="30"/>
      <c r="FW242" s="30"/>
      <c r="FX242" s="30"/>
      <c r="FY242" s="30"/>
      <c r="FZ242" s="30"/>
      <c r="GA242" s="30"/>
      <c r="GB242" s="30"/>
      <c r="GC242" s="30"/>
      <c r="GD242" s="30"/>
      <c r="GE242" s="30"/>
      <c r="GF242" s="30"/>
      <c r="GG242" s="30"/>
      <c r="GH242" s="30"/>
      <c r="GI242" s="30"/>
      <c r="GJ242" s="30"/>
      <c r="GK242" s="30"/>
      <c r="GL242" s="30"/>
      <c r="GM242" s="30"/>
      <c r="GN242" s="30"/>
      <c r="GO242" s="30"/>
      <c r="GP242" s="30"/>
      <c r="GQ242" s="30"/>
      <c r="GR242" s="30"/>
      <c r="GS242" s="30"/>
      <c r="GT242" s="30"/>
      <c r="GU242" s="30"/>
      <c r="GV242" s="30"/>
      <c r="GW242" s="30"/>
      <c r="GX242" s="30"/>
      <c r="GY242" s="30"/>
      <c r="GZ242" s="30"/>
      <c r="HA242" s="30"/>
      <c r="HB242" s="30"/>
      <c r="HC242" s="30"/>
      <c r="HD242" s="30"/>
      <c r="HE242" s="30"/>
      <c r="HF242" s="30"/>
      <c r="HG242" s="30"/>
      <c r="HH242" s="30"/>
      <c r="HI242" s="30"/>
      <c r="HJ242" s="30"/>
      <c r="HK242" s="30"/>
      <c r="HL242" s="30"/>
      <c r="HM242" s="30"/>
      <c r="HN242" s="30"/>
      <c r="HO242" s="30"/>
      <c r="HP242" s="30"/>
      <c r="HQ242" s="30"/>
      <c r="HR242" s="30"/>
      <c r="HS242" s="30"/>
      <c r="HT242" s="30"/>
      <c r="HU242" s="30"/>
      <c r="HV242" s="30"/>
      <c r="HW242" s="30"/>
      <c r="HX242" s="30"/>
      <c r="HY242" s="30"/>
      <c r="HZ242" s="30"/>
      <c r="IA242" s="30"/>
      <c r="IB242" s="30"/>
      <c r="IC242" s="30"/>
      <c r="ID242" s="30"/>
      <c r="IE242" s="30"/>
      <c r="IF242" s="30"/>
      <c r="IG242" s="30"/>
      <c r="IH242" s="30"/>
      <c r="II242" s="30"/>
    </row>
    <row r="243" spans="1:243" s="5" customFormat="1" ht="15" customHeight="1">
      <c r="A243" s="141" t="s">
        <v>218</v>
      </c>
      <c r="B243" s="141" t="s">
        <v>217</v>
      </c>
      <c r="C243" s="141" t="s">
        <v>217</v>
      </c>
      <c r="D243" s="141" t="s">
        <v>217</v>
      </c>
      <c r="E243" s="70">
        <v>75</v>
      </c>
      <c r="F243" s="23">
        <f t="shared" si="42"/>
        <v>0</v>
      </c>
      <c r="G243" s="14">
        <v>130</v>
      </c>
      <c r="H243" s="71"/>
      <c r="I243" s="14">
        <f t="shared" si="51"/>
        <v>0</v>
      </c>
      <c r="J243" s="33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  <c r="AB243" s="30"/>
      <c r="AC243" s="30"/>
      <c r="AD243" s="30"/>
      <c r="AE243" s="30"/>
      <c r="AF243" s="30"/>
      <c r="AG243" s="30"/>
      <c r="AH243" s="30"/>
      <c r="AI243" s="30"/>
      <c r="AJ243" s="30"/>
      <c r="AK243" s="30"/>
      <c r="AL243" s="30"/>
      <c r="AM243" s="30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30"/>
      <c r="BG243" s="30"/>
      <c r="BH243" s="30"/>
      <c r="BI243" s="30"/>
      <c r="BJ243" s="30"/>
      <c r="BK243" s="30"/>
      <c r="BL243" s="30"/>
      <c r="BM243" s="30"/>
      <c r="BN243" s="30"/>
      <c r="BO243" s="30"/>
      <c r="BP243" s="30"/>
      <c r="BQ243" s="30"/>
      <c r="BR243" s="30"/>
      <c r="BS243" s="30"/>
      <c r="BT243" s="30"/>
      <c r="BU243" s="30"/>
      <c r="BV243" s="30"/>
      <c r="BW243" s="30"/>
      <c r="BX243" s="30"/>
      <c r="BY243" s="30"/>
      <c r="BZ243" s="30"/>
      <c r="CA243" s="30"/>
      <c r="CB243" s="30"/>
      <c r="CC243" s="30"/>
      <c r="CD243" s="30"/>
      <c r="CE243" s="30"/>
      <c r="CF243" s="30"/>
      <c r="CG243" s="30"/>
      <c r="CH243" s="30"/>
      <c r="CI243" s="30"/>
      <c r="CJ243" s="30"/>
      <c r="CK243" s="30"/>
      <c r="CL243" s="30"/>
      <c r="CM243" s="30"/>
      <c r="CN243" s="30"/>
      <c r="CO243" s="30"/>
      <c r="CP243" s="30"/>
      <c r="CQ243" s="30"/>
      <c r="CR243" s="30"/>
      <c r="CS243" s="30"/>
      <c r="CT243" s="30"/>
      <c r="CU243" s="30"/>
      <c r="CV243" s="30"/>
      <c r="CW243" s="30"/>
      <c r="CX243" s="30"/>
      <c r="CY243" s="30"/>
      <c r="CZ243" s="30"/>
      <c r="DA243" s="30"/>
      <c r="DB243" s="30"/>
      <c r="DC243" s="30"/>
      <c r="DD243" s="30"/>
      <c r="DE243" s="30"/>
      <c r="DF243" s="30"/>
      <c r="DG243" s="30"/>
      <c r="DH243" s="30"/>
      <c r="DI243" s="30"/>
      <c r="DJ243" s="30"/>
      <c r="DK243" s="30"/>
      <c r="DL243" s="30"/>
      <c r="DM243" s="30"/>
      <c r="DN243" s="30"/>
      <c r="DO243" s="30"/>
      <c r="DP243" s="30"/>
      <c r="DQ243" s="30"/>
      <c r="DR243" s="30"/>
      <c r="DS243" s="30"/>
      <c r="DT243" s="30"/>
      <c r="DU243" s="30"/>
      <c r="DV243" s="30"/>
      <c r="DW243" s="30"/>
      <c r="DX243" s="30"/>
      <c r="DY243" s="30"/>
      <c r="DZ243" s="30"/>
      <c r="EA243" s="30"/>
      <c r="EB243" s="30"/>
      <c r="EC243" s="30"/>
      <c r="ED243" s="30"/>
      <c r="EE243" s="30"/>
      <c r="EF243" s="30"/>
      <c r="EG243" s="30"/>
      <c r="EH243" s="30"/>
      <c r="EI243" s="30"/>
      <c r="EJ243" s="30"/>
      <c r="EK243" s="30"/>
      <c r="EL243" s="30"/>
      <c r="EM243" s="30"/>
      <c r="EN243" s="30"/>
      <c r="EO243" s="30"/>
      <c r="EP243" s="30"/>
      <c r="EQ243" s="30"/>
      <c r="ER243" s="30"/>
      <c r="ES243" s="30"/>
      <c r="ET243" s="30"/>
      <c r="EU243" s="30"/>
      <c r="EV243" s="30"/>
      <c r="EW243" s="30"/>
      <c r="EX243" s="30"/>
      <c r="EY243" s="30"/>
      <c r="EZ243" s="30"/>
      <c r="FA243" s="30"/>
      <c r="FB243" s="30"/>
      <c r="FC243" s="30"/>
      <c r="FD243" s="30"/>
      <c r="FE243" s="30"/>
      <c r="FF243" s="30"/>
      <c r="FG243" s="30"/>
      <c r="FH243" s="30"/>
      <c r="FI243" s="30"/>
      <c r="FJ243" s="30"/>
      <c r="FK243" s="30"/>
      <c r="FL243" s="30"/>
      <c r="FM243" s="30"/>
      <c r="FN243" s="30"/>
      <c r="FO243" s="30"/>
      <c r="FP243" s="30"/>
      <c r="FQ243" s="30"/>
      <c r="FR243" s="30"/>
      <c r="FS243" s="30"/>
      <c r="FT243" s="30"/>
      <c r="FU243" s="30"/>
      <c r="FV243" s="30"/>
      <c r="FW243" s="30"/>
      <c r="FX243" s="30"/>
      <c r="FY243" s="30"/>
      <c r="FZ243" s="30"/>
      <c r="GA243" s="30"/>
      <c r="GB243" s="30"/>
      <c r="GC243" s="30"/>
      <c r="GD243" s="30"/>
      <c r="GE243" s="30"/>
      <c r="GF243" s="30"/>
      <c r="GG243" s="30"/>
      <c r="GH243" s="30"/>
      <c r="GI243" s="30"/>
      <c r="GJ243" s="30"/>
      <c r="GK243" s="30"/>
      <c r="GL243" s="30"/>
      <c r="GM243" s="30"/>
      <c r="GN243" s="30"/>
      <c r="GO243" s="30"/>
      <c r="GP243" s="30"/>
      <c r="GQ243" s="30"/>
      <c r="GR243" s="30"/>
      <c r="GS243" s="30"/>
      <c r="GT243" s="30"/>
      <c r="GU243" s="30"/>
      <c r="GV243" s="30"/>
      <c r="GW243" s="30"/>
      <c r="GX243" s="30"/>
      <c r="GY243" s="30"/>
      <c r="GZ243" s="30"/>
      <c r="HA243" s="30"/>
      <c r="HB243" s="30"/>
      <c r="HC243" s="30"/>
      <c r="HD243" s="30"/>
      <c r="HE243" s="30"/>
      <c r="HF243" s="30"/>
      <c r="HG243" s="30"/>
      <c r="HH243" s="30"/>
      <c r="HI243" s="30"/>
      <c r="HJ243" s="30"/>
      <c r="HK243" s="30"/>
      <c r="HL243" s="30"/>
      <c r="HM243" s="30"/>
      <c r="HN243" s="30"/>
      <c r="HO243" s="30"/>
      <c r="HP243" s="30"/>
      <c r="HQ243" s="30"/>
      <c r="HR243" s="30"/>
      <c r="HS243" s="30"/>
      <c r="HT243" s="30"/>
      <c r="HU243" s="30"/>
      <c r="HV243" s="30"/>
      <c r="HW243" s="30"/>
      <c r="HX243" s="30"/>
      <c r="HY243" s="30"/>
      <c r="HZ243" s="30"/>
      <c r="IA243" s="30"/>
      <c r="IB243" s="30"/>
      <c r="IC243" s="30"/>
      <c r="ID243" s="30"/>
      <c r="IE243" s="30"/>
      <c r="IF243" s="30"/>
      <c r="IG243" s="30"/>
      <c r="IH243" s="30"/>
      <c r="II243" s="30"/>
    </row>
    <row r="244" spans="1:243" s="5" customFormat="1" ht="15" customHeight="1">
      <c r="A244" s="141" t="s">
        <v>219</v>
      </c>
      <c r="B244" s="141" t="s">
        <v>217</v>
      </c>
      <c r="C244" s="141" t="s">
        <v>217</v>
      </c>
      <c r="D244" s="141" t="s">
        <v>217</v>
      </c>
      <c r="E244" s="70">
        <v>75</v>
      </c>
      <c r="F244" s="23">
        <f t="shared" si="42"/>
        <v>0</v>
      </c>
      <c r="G244" s="14">
        <v>150</v>
      </c>
      <c r="H244" s="71"/>
      <c r="I244" s="14">
        <f t="shared" si="51"/>
        <v>0</v>
      </c>
      <c r="J244" s="33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  <c r="AD244" s="30"/>
      <c r="AE244" s="30"/>
      <c r="AF244" s="30"/>
      <c r="AG244" s="30"/>
      <c r="AH244" s="30"/>
      <c r="AI244" s="30"/>
      <c r="AJ244" s="30"/>
      <c r="AK244" s="30"/>
      <c r="AL244" s="30"/>
      <c r="AM244" s="30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30"/>
      <c r="BG244" s="30"/>
      <c r="BH244" s="30"/>
      <c r="BI244" s="30"/>
      <c r="BJ244" s="30"/>
      <c r="BK244" s="30"/>
      <c r="BL244" s="30"/>
      <c r="BM244" s="30"/>
      <c r="BN244" s="30"/>
      <c r="BO244" s="30"/>
      <c r="BP244" s="30"/>
      <c r="BQ244" s="30"/>
      <c r="BR244" s="30"/>
      <c r="BS244" s="30"/>
      <c r="BT244" s="30"/>
      <c r="BU244" s="30"/>
      <c r="BV244" s="30"/>
      <c r="BW244" s="30"/>
      <c r="BX244" s="30"/>
      <c r="BY244" s="30"/>
      <c r="BZ244" s="30"/>
      <c r="CA244" s="30"/>
      <c r="CB244" s="30"/>
      <c r="CC244" s="30"/>
      <c r="CD244" s="30"/>
      <c r="CE244" s="30"/>
      <c r="CF244" s="30"/>
      <c r="CG244" s="30"/>
      <c r="CH244" s="30"/>
      <c r="CI244" s="30"/>
      <c r="CJ244" s="30"/>
      <c r="CK244" s="30"/>
      <c r="CL244" s="30"/>
      <c r="CM244" s="30"/>
      <c r="CN244" s="30"/>
      <c r="CO244" s="30"/>
      <c r="CP244" s="30"/>
      <c r="CQ244" s="30"/>
      <c r="CR244" s="30"/>
      <c r="CS244" s="30"/>
      <c r="CT244" s="30"/>
      <c r="CU244" s="30"/>
      <c r="CV244" s="30"/>
      <c r="CW244" s="30"/>
      <c r="CX244" s="30"/>
      <c r="CY244" s="30"/>
      <c r="CZ244" s="30"/>
      <c r="DA244" s="30"/>
      <c r="DB244" s="30"/>
      <c r="DC244" s="30"/>
      <c r="DD244" s="30"/>
      <c r="DE244" s="30"/>
      <c r="DF244" s="30"/>
      <c r="DG244" s="30"/>
      <c r="DH244" s="30"/>
      <c r="DI244" s="30"/>
      <c r="DJ244" s="30"/>
      <c r="DK244" s="30"/>
      <c r="DL244" s="30"/>
      <c r="DM244" s="30"/>
      <c r="DN244" s="30"/>
      <c r="DO244" s="30"/>
      <c r="DP244" s="30"/>
      <c r="DQ244" s="30"/>
      <c r="DR244" s="30"/>
      <c r="DS244" s="30"/>
      <c r="DT244" s="30"/>
      <c r="DU244" s="30"/>
      <c r="DV244" s="30"/>
      <c r="DW244" s="30"/>
      <c r="DX244" s="30"/>
      <c r="DY244" s="30"/>
      <c r="DZ244" s="30"/>
      <c r="EA244" s="30"/>
      <c r="EB244" s="30"/>
      <c r="EC244" s="30"/>
      <c r="ED244" s="30"/>
      <c r="EE244" s="30"/>
      <c r="EF244" s="30"/>
      <c r="EG244" s="30"/>
      <c r="EH244" s="30"/>
      <c r="EI244" s="30"/>
      <c r="EJ244" s="30"/>
      <c r="EK244" s="30"/>
      <c r="EL244" s="30"/>
      <c r="EM244" s="30"/>
      <c r="EN244" s="30"/>
      <c r="EO244" s="30"/>
      <c r="EP244" s="30"/>
      <c r="EQ244" s="30"/>
      <c r="ER244" s="30"/>
      <c r="ES244" s="30"/>
      <c r="ET244" s="30"/>
      <c r="EU244" s="30"/>
      <c r="EV244" s="30"/>
      <c r="EW244" s="30"/>
      <c r="EX244" s="30"/>
      <c r="EY244" s="30"/>
      <c r="EZ244" s="30"/>
      <c r="FA244" s="30"/>
      <c r="FB244" s="30"/>
      <c r="FC244" s="30"/>
      <c r="FD244" s="30"/>
      <c r="FE244" s="30"/>
      <c r="FF244" s="30"/>
      <c r="FG244" s="30"/>
      <c r="FH244" s="30"/>
      <c r="FI244" s="30"/>
      <c r="FJ244" s="30"/>
      <c r="FK244" s="30"/>
      <c r="FL244" s="30"/>
      <c r="FM244" s="30"/>
      <c r="FN244" s="30"/>
      <c r="FO244" s="30"/>
      <c r="FP244" s="30"/>
      <c r="FQ244" s="30"/>
      <c r="FR244" s="30"/>
      <c r="FS244" s="30"/>
      <c r="FT244" s="30"/>
      <c r="FU244" s="30"/>
      <c r="FV244" s="30"/>
      <c r="FW244" s="30"/>
      <c r="FX244" s="30"/>
      <c r="FY244" s="30"/>
      <c r="FZ244" s="30"/>
      <c r="GA244" s="30"/>
      <c r="GB244" s="30"/>
      <c r="GC244" s="30"/>
      <c r="GD244" s="30"/>
      <c r="GE244" s="30"/>
      <c r="GF244" s="30"/>
      <c r="GG244" s="30"/>
      <c r="GH244" s="30"/>
      <c r="GI244" s="30"/>
      <c r="GJ244" s="30"/>
      <c r="GK244" s="30"/>
      <c r="GL244" s="30"/>
      <c r="GM244" s="30"/>
      <c r="GN244" s="30"/>
      <c r="GO244" s="30"/>
      <c r="GP244" s="30"/>
      <c r="GQ244" s="30"/>
      <c r="GR244" s="30"/>
      <c r="GS244" s="30"/>
      <c r="GT244" s="30"/>
      <c r="GU244" s="30"/>
      <c r="GV244" s="30"/>
      <c r="GW244" s="30"/>
      <c r="GX244" s="30"/>
      <c r="GY244" s="30"/>
      <c r="GZ244" s="30"/>
      <c r="HA244" s="30"/>
      <c r="HB244" s="30"/>
      <c r="HC244" s="30"/>
      <c r="HD244" s="30"/>
      <c r="HE244" s="30"/>
      <c r="HF244" s="30"/>
      <c r="HG244" s="30"/>
      <c r="HH244" s="30"/>
      <c r="HI244" s="30"/>
      <c r="HJ244" s="30"/>
      <c r="HK244" s="30"/>
      <c r="HL244" s="30"/>
      <c r="HM244" s="30"/>
      <c r="HN244" s="30"/>
      <c r="HO244" s="30"/>
      <c r="HP244" s="30"/>
      <c r="HQ244" s="30"/>
      <c r="HR244" s="30"/>
      <c r="HS244" s="30"/>
      <c r="HT244" s="30"/>
      <c r="HU244" s="30"/>
      <c r="HV244" s="30"/>
      <c r="HW244" s="30"/>
      <c r="HX244" s="30"/>
      <c r="HY244" s="30"/>
      <c r="HZ244" s="30"/>
      <c r="IA244" s="30"/>
      <c r="IB244" s="30"/>
      <c r="IC244" s="30"/>
      <c r="ID244" s="30"/>
      <c r="IE244" s="30"/>
      <c r="IF244" s="30"/>
      <c r="IG244" s="30"/>
      <c r="IH244" s="30"/>
      <c r="II244" s="30"/>
    </row>
    <row r="245" spans="1:243" ht="15" customHeight="1">
      <c r="A245" s="135" t="s">
        <v>220</v>
      </c>
      <c r="B245" s="136"/>
      <c r="C245" s="136"/>
      <c r="D245" s="137"/>
      <c r="E245" s="70">
        <v>75</v>
      </c>
      <c r="F245" s="23">
        <f t="shared" si="42"/>
        <v>0</v>
      </c>
      <c r="G245" s="14">
        <v>130</v>
      </c>
      <c r="H245" s="71"/>
      <c r="I245" s="14">
        <f t="shared" si="51"/>
        <v>0</v>
      </c>
      <c r="J245" s="33"/>
      <c r="K245" s="30"/>
    </row>
    <row r="246" spans="1:243" ht="15" customHeight="1">
      <c r="A246" s="141" t="s">
        <v>221</v>
      </c>
      <c r="B246" s="141" t="s">
        <v>217</v>
      </c>
      <c r="C246" s="141" t="s">
        <v>217</v>
      </c>
      <c r="D246" s="141" t="s">
        <v>217</v>
      </c>
      <c r="E246" s="70">
        <v>75</v>
      </c>
      <c r="F246" s="23">
        <f t="shared" si="42"/>
        <v>0</v>
      </c>
      <c r="G246" s="14">
        <v>130</v>
      </c>
      <c r="H246" s="71"/>
      <c r="I246" s="14">
        <f t="shared" si="51"/>
        <v>0</v>
      </c>
      <c r="J246" s="33"/>
      <c r="K246" s="30"/>
      <c r="M246" s="143"/>
      <c r="N246" s="143"/>
      <c r="O246" s="143"/>
      <c r="P246" s="143"/>
      <c r="V246" s="63"/>
      <c r="W246" s="64"/>
    </row>
    <row r="247" spans="1:243" ht="15" customHeight="1">
      <c r="A247" s="141" t="s">
        <v>222</v>
      </c>
      <c r="B247" s="141" t="s">
        <v>217</v>
      </c>
      <c r="C247" s="141" t="s">
        <v>217</v>
      </c>
      <c r="D247" s="141" t="s">
        <v>217</v>
      </c>
      <c r="E247" s="70">
        <v>75</v>
      </c>
      <c r="F247" s="23">
        <f t="shared" si="42"/>
        <v>0</v>
      </c>
      <c r="G247" s="14">
        <v>170</v>
      </c>
      <c r="H247" s="71"/>
      <c r="I247" s="14">
        <f t="shared" si="51"/>
        <v>0</v>
      </c>
      <c r="J247" s="33"/>
      <c r="K247" s="30"/>
      <c r="M247" s="72"/>
      <c r="N247" s="72"/>
      <c r="O247" s="72"/>
      <c r="P247" s="72"/>
      <c r="Q247" s="73"/>
      <c r="R247" s="66"/>
      <c r="S247" s="67"/>
      <c r="T247" s="68"/>
      <c r="U247" s="69"/>
      <c r="V247" s="63"/>
      <c r="W247" s="64"/>
    </row>
    <row r="248" spans="1:243" ht="15" customHeight="1">
      <c r="A248" s="142" t="s">
        <v>223</v>
      </c>
      <c r="B248" s="142" t="s">
        <v>217</v>
      </c>
      <c r="C248" s="142" t="s">
        <v>217</v>
      </c>
      <c r="D248" s="142" t="s">
        <v>217</v>
      </c>
      <c r="E248" s="25">
        <v>75</v>
      </c>
      <c r="F248" s="23">
        <f t="shared" si="42"/>
        <v>0</v>
      </c>
      <c r="G248" s="23">
        <v>430</v>
      </c>
      <c r="H248" s="25"/>
      <c r="I248" s="23">
        <f t="shared" ref="I248" si="52">H248*G248</f>
        <v>0</v>
      </c>
      <c r="J248" s="23"/>
      <c r="K248" s="30"/>
      <c r="M248" s="64"/>
      <c r="N248" s="64"/>
      <c r="O248" s="64"/>
      <c r="P248" s="64"/>
      <c r="Q248" s="73"/>
      <c r="R248" s="66"/>
      <c r="S248" s="67"/>
      <c r="T248" s="68"/>
      <c r="U248" s="69"/>
      <c r="V248" s="64"/>
      <c r="W248" s="64"/>
    </row>
    <row r="249" spans="1:243" ht="15" customHeight="1">
      <c r="A249" s="144" t="s">
        <v>224</v>
      </c>
      <c r="B249" s="145"/>
      <c r="C249" s="145"/>
      <c r="D249" s="145"/>
      <c r="E249" s="145"/>
      <c r="F249" s="145"/>
      <c r="G249" s="145"/>
      <c r="H249" s="145"/>
      <c r="I249" s="145"/>
      <c r="J249" s="146"/>
      <c r="K249" s="30"/>
      <c r="Q249" s="64"/>
      <c r="R249" s="64"/>
      <c r="S249" s="64"/>
      <c r="T249" s="64"/>
      <c r="U249" s="64"/>
    </row>
    <row r="250" spans="1:243" ht="15" customHeight="1">
      <c r="A250" s="147" t="s">
        <v>225</v>
      </c>
      <c r="B250" s="147"/>
      <c r="C250" s="147"/>
      <c r="D250" s="147"/>
      <c r="E250" s="43">
        <v>25</v>
      </c>
      <c r="F250" s="23">
        <f t="shared" si="42"/>
        <v>0</v>
      </c>
      <c r="G250" s="14">
        <v>155</v>
      </c>
      <c r="H250" s="43"/>
      <c r="I250" s="14">
        <f>H250*G250</f>
        <v>0</v>
      </c>
      <c r="J250" s="33"/>
      <c r="K250" s="30"/>
    </row>
    <row r="251" spans="1:243" ht="15" customHeight="1">
      <c r="A251" s="147" t="s">
        <v>226</v>
      </c>
      <c r="B251" s="148"/>
      <c r="C251" s="148"/>
      <c r="D251" s="148"/>
      <c r="E251" s="43">
        <v>22</v>
      </c>
      <c r="F251" s="23">
        <f t="shared" si="42"/>
        <v>0</v>
      </c>
      <c r="G251" s="14">
        <v>80</v>
      </c>
      <c r="H251" s="24"/>
      <c r="I251" s="14">
        <f>H251*G251</f>
        <v>0</v>
      </c>
      <c r="J251" s="33"/>
      <c r="K251" s="30"/>
    </row>
    <row r="252" spans="1:243" ht="15" customHeight="1">
      <c r="A252" s="141" t="s">
        <v>227</v>
      </c>
      <c r="B252" s="141" t="s">
        <v>217</v>
      </c>
      <c r="C252" s="141" t="s">
        <v>217</v>
      </c>
      <c r="D252" s="141" t="s">
        <v>217</v>
      </c>
      <c r="E252" s="70">
        <v>30</v>
      </c>
      <c r="F252" s="23">
        <f t="shared" si="42"/>
        <v>0</v>
      </c>
      <c r="G252" s="14">
        <v>190</v>
      </c>
      <c r="H252" s="71"/>
      <c r="I252" s="14">
        <f>H252*G252</f>
        <v>0</v>
      </c>
      <c r="J252" s="33"/>
      <c r="K252" s="30"/>
    </row>
    <row r="253" spans="1:243" ht="15" customHeight="1">
      <c r="A253" s="141" t="s">
        <v>228</v>
      </c>
      <c r="B253" s="141" t="s">
        <v>217</v>
      </c>
      <c r="C253" s="141" t="s">
        <v>217</v>
      </c>
      <c r="D253" s="141" t="s">
        <v>217</v>
      </c>
      <c r="E253" s="70">
        <v>25</v>
      </c>
      <c r="F253" s="23">
        <f t="shared" si="42"/>
        <v>0</v>
      </c>
      <c r="G253" s="14">
        <v>155</v>
      </c>
      <c r="H253" s="71"/>
      <c r="I253" s="14">
        <f>H253*G253</f>
        <v>0</v>
      </c>
      <c r="J253" s="33"/>
      <c r="K253" s="30"/>
    </row>
    <row r="254" spans="1:243" ht="15" customHeight="1">
      <c r="A254" s="144" t="s">
        <v>229</v>
      </c>
      <c r="B254" s="145"/>
      <c r="C254" s="145"/>
      <c r="D254" s="145"/>
      <c r="E254" s="145"/>
      <c r="F254" s="145"/>
      <c r="G254" s="145"/>
      <c r="H254" s="145"/>
      <c r="I254" s="145"/>
      <c r="J254" s="146"/>
      <c r="K254" s="30"/>
    </row>
    <row r="255" spans="1:243" ht="15" customHeight="1">
      <c r="A255" s="135" t="s">
        <v>230</v>
      </c>
      <c r="B255" s="136"/>
      <c r="C255" s="136"/>
      <c r="D255" s="137"/>
      <c r="E255" s="70">
        <v>20</v>
      </c>
      <c r="F255" s="23">
        <f t="shared" si="42"/>
        <v>0</v>
      </c>
      <c r="G255" s="14">
        <v>70</v>
      </c>
      <c r="H255" s="71"/>
      <c r="I255" s="14">
        <f t="shared" ref="I255:I260" si="53">H255*G255</f>
        <v>0</v>
      </c>
      <c r="J255" s="33"/>
      <c r="K255" s="30"/>
    </row>
    <row r="256" spans="1:243" ht="15" customHeight="1">
      <c r="A256" s="135" t="s">
        <v>231</v>
      </c>
      <c r="B256" s="136"/>
      <c r="C256" s="136"/>
      <c r="D256" s="137"/>
      <c r="E256" s="70">
        <v>28</v>
      </c>
      <c r="F256" s="23">
        <f t="shared" si="42"/>
        <v>0</v>
      </c>
      <c r="G256" s="14">
        <v>90</v>
      </c>
      <c r="H256" s="71"/>
      <c r="I256" s="14">
        <f t="shared" si="53"/>
        <v>0</v>
      </c>
      <c r="J256" s="33"/>
      <c r="K256" s="30"/>
    </row>
    <row r="257" spans="1:11" ht="15" customHeight="1">
      <c r="A257" s="135" t="s">
        <v>232</v>
      </c>
      <c r="B257" s="136"/>
      <c r="C257" s="136"/>
      <c r="D257" s="137"/>
      <c r="E257" s="70">
        <v>28</v>
      </c>
      <c r="F257" s="23">
        <f t="shared" ref="F257:F260" si="54">E257*H257/$D$10</f>
        <v>0</v>
      </c>
      <c r="G257" s="14">
        <v>70</v>
      </c>
      <c r="H257" s="71"/>
      <c r="I257" s="14">
        <f t="shared" si="53"/>
        <v>0</v>
      </c>
      <c r="J257" s="33"/>
      <c r="K257" s="30"/>
    </row>
    <row r="258" spans="1:11" ht="15" customHeight="1">
      <c r="A258" s="135" t="s">
        <v>233</v>
      </c>
      <c r="B258" s="136"/>
      <c r="C258" s="136"/>
      <c r="D258" s="137"/>
      <c r="E258" s="70">
        <v>20</v>
      </c>
      <c r="F258" s="23">
        <f t="shared" ref="F258:F259" si="55">E258*H258/$D$10</f>
        <v>0</v>
      </c>
      <c r="G258" s="14">
        <v>60</v>
      </c>
      <c r="H258" s="71"/>
      <c r="I258" s="14">
        <f t="shared" si="53"/>
        <v>0</v>
      </c>
      <c r="J258" s="33"/>
      <c r="K258" s="30"/>
    </row>
    <row r="259" spans="1:11" ht="15" customHeight="1">
      <c r="A259" s="135" t="s">
        <v>234</v>
      </c>
      <c r="B259" s="136"/>
      <c r="C259" s="136"/>
      <c r="D259" s="137"/>
      <c r="E259" s="70">
        <v>25</v>
      </c>
      <c r="F259" s="23">
        <f t="shared" si="55"/>
        <v>0</v>
      </c>
      <c r="G259" s="14">
        <v>130</v>
      </c>
      <c r="H259" s="71"/>
      <c r="I259" s="14">
        <f t="shared" si="53"/>
        <v>0</v>
      </c>
      <c r="J259" s="33"/>
      <c r="K259" s="30"/>
    </row>
    <row r="260" spans="1:11" ht="15" customHeight="1">
      <c r="A260" s="138" t="s">
        <v>235</v>
      </c>
      <c r="B260" s="139"/>
      <c r="C260" s="139"/>
      <c r="D260" s="140"/>
      <c r="E260" s="43">
        <v>25</v>
      </c>
      <c r="F260" s="23">
        <f t="shared" si="54"/>
        <v>0</v>
      </c>
      <c r="G260" s="14">
        <v>200</v>
      </c>
      <c r="H260" s="43"/>
      <c r="I260" s="14">
        <f t="shared" si="53"/>
        <v>0</v>
      </c>
      <c r="J260" s="33"/>
      <c r="K260" s="30"/>
    </row>
    <row r="261" spans="1:11" ht="15" customHeight="1">
      <c r="A261" s="108" t="s">
        <v>236</v>
      </c>
      <c r="B261" s="109"/>
      <c r="C261" s="109"/>
      <c r="D261" s="109"/>
      <c r="E261" s="109"/>
      <c r="F261" s="109"/>
      <c r="G261" s="109"/>
      <c r="H261" s="109"/>
      <c r="I261" s="109"/>
      <c r="J261" s="109"/>
      <c r="K261" s="30"/>
    </row>
    <row r="262" spans="1:11" ht="25.05" customHeight="1">
      <c r="A262" s="103" t="s">
        <v>18</v>
      </c>
      <c r="B262" s="104"/>
      <c r="C262" s="104"/>
      <c r="D262" s="104"/>
      <c r="E262" s="12" t="s">
        <v>19</v>
      </c>
      <c r="F262" s="12" t="s">
        <v>20</v>
      </c>
      <c r="G262" s="12" t="s">
        <v>21</v>
      </c>
      <c r="H262" s="12" t="s">
        <v>22</v>
      </c>
      <c r="I262" s="12" t="s">
        <v>23</v>
      </c>
      <c r="J262" s="12"/>
      <c r="K262" s="30"/>
    </row>
    <row r="263" spans="1:11" ht="25.05" customHeight="1">
      <c r="A263" s="116" t="s">
        <v>237</v>
      </c>
      <c r="B263" s="117"/>
      <c r="C263" s="117"/>
      <c r="D263" s="117"/>
      <c r="E263" s="24">
        <v>35</v>
      </c>
      <c r="F263" s="23">
        <f t="shared" ref="F263:F290" si="56">E263*H263/$D$10</f>
        <v>0</v>
      </c>
      <c r="G263" s="14">
        <v>120</v>
      </c>
      <c r="H263" s="24"/>
      <c r="I263" s="14">
        <f t="shared" ref="I263:I287" si="57">H263*G263</f>
        <v>0</v>
      </c>
      <c r="J263" s="33"/>
      <c r="K263" s="30"/>
    </row>
    <row r="264" spans="1:11" ht="15" customHeight="1">
      <c r="A264" s="132" t="s">
        <v>238</v>
      </c>
      <c r="B264" s="133"/>
      <c r="C264" s="133"/>
      <c r="D264" s="134"/>
      <c r="E264" s="24">
        <v>30</v>
      </c>
      <c r="F264" s="23">
        <f t="shared" si="56"/>
        <v>0</v>
      </c>
      <c r="G264" s="14">
        <v>80</v>
      </c>
      <c r="H264" s="24"/>
      <c r="I264" s="14">
        <f t="shared" si="57"/>
        <v>0</v>
      </c>
      <c r="J264" s="33"/>
      <c r="K264" s="30"/>
    </row>
    <row r="265" spans="1:11" ht="15" customHeight="1">
      <c r="A265" s="116" t="s">
        <v>239</v>
      </c>
      <c r="B265" s="117"/>
      <c r="C265" s="117"/>
      <c r="D265" s="117"/>
      <c r="E265" s="24">
        <v>10</v>
      </c>
      <c r="F265" s="23">
        <f t="shared" si="56"/>
        <v>0</v>
      </c>
      <c r="G265" s="14">
        <v>35</v>
      </c>
      <c r="H265" s="24"/>
      <c r="I265" s="14">
        <f t="shared" si="57"/>
        <v>0</v>
      </c>
      <c r="J265" s="33"/>
      <c r="K265" s="30"/>
    </row>
    <row r="266" spans="1:11" ht="15" customHeight="1">
      <c r="A266" s="132" t="s">
        <v>240</v>
      </c>
      <c r="B266" s="133"/>
      <c r="C266" s="133"/>
      <c r="D266" s="134"/>
      <c r="E266" s="24">
        <v>70</v>
      </c>
      <c r="F266" s="23">
        <f t="shared" si="56"/>
        <v>0</v>
      </c>
      <c r="G266" s="14">
        <v>230</v>
      </c>
      <c r="H266" s="22"/>
      <c r="I266" s="14">
        <f t="shared" si="57"/>
        <v>0</v>
      </c>
      <c r="J266" s="33"/>
      <c r="K266" s="30"/>
    </row>
    <row r="267" spans="1:11" ht="15" customHeight="1">
      <c r="A267" s="36" t="s">
        <v>241</v>
      </c>
      <c r="B267" s="37"/>
      <c r="C267" s="37"/>
      <c r="D267" s="38"/>
      <c r="E267" s="24">
        <v>30</v>
      </c>
      <c r="F267" s="23">
        <f t="shared" si="56"/>
        <v>0</v>
      </c>
      <c r="G267" s="14">
        <v>30</v>
      </c>
      <c r="H267" s="22"/>
      <c r="I267" s="14">
        <f t="shared" si="57"/>
        <v>0</v>
      </c>
      <c r="J267" s="33"/>
      <c r="K267" s="30"/>
    </row>
    <row r="268" spans="1:11" ht="15" customHeight="1">
      <c r="A268" s="89" t="s">
        <v>242</v>
      </c>
      <c r="B268" s="90"/>
      <c r="C268" s="90"/>
      <c r="D268" s="91"/>
      <c r="E268" s="24">
        <v>30</v>
      </c>
      <c r="F268" s="23">
        <f t="shared" si="56"/>
        <v>0</v>
      </c>
      <c r="G268" s="14">
        <v>110</v>
      </c>
      <c r="H268" s="22"/>
      <c r="I268" s="14">
        <f t="shared" si="57"/>
        <v>0</v>
      </c>
      <c r="J268" s="33"/>
      <c r="K268" s="30"/>
    </row>
    <row r="269" spans="1:11" ht="15" customHeight="1">
      <c r="A269" s="89" t="s">
        <v>243</v>
      </c>
      <c r="B269" s="90"/>
      <c r="C269" s="90"/>
      <c r="D269" s="91"/>
      <c r="E269" s="24">
        <v>30</v>
      </c>
      <c r="F269" s="23">
        <f t="shared" si="56"/>
        <v>0</v>
      </c>
      <c r="G269" s="14">
        <v>50</v>
      </c>
      <c r="H269" s="22"/>
      <c r="I269" s="14">
        <f t="shared" si="57"/>
        <v>0</v>
      </c>
      <c r="J269" s="33"/>
      <c r="K269" s="30"/>
    </row>
    <row r="270" spans="1:11" ht="15" customHeight="1">
      <c r="A270" s="89" t="s">
        <v>244</v>
      </c>
      <c r="B270" s="90"/>
      <c r="C270" s="90"/>
      <c r="D270" s="91"/>
      <c r="E270" s="24">
        <v>50</v>
      </c>
      <c r="F270" s="23">
        <f t="shared" si="56"/>
        <v>0</v>
      </c>
      <c r="G270" s="14">
        <v>50</v>
      </c>
      <c r="H270" s="22"/>
      <c r="I270" s="14">
        <f t="shared" si="57"/>
        <v>0</v>
      </c>
      <c r="J270" s="33"/>
      <c r="K270" s="30"/>
    </row>
    <row r="271" spans="1:11" ht="15" customHeight="1">
      <c r="A271" s="89" t="s">
        <v>245</v>
      </c>
      <c r="B271" s="90"/>
      <c r="C271" s="90"/>
      <c r="D271" s="91"/>
      <c r="E271" s="24">
        <v>80</v>
      </c>
      <c r="F271" s="23">
        <f t="shared" si="56"/>
        <v>0</v>
      </c>
      <c r="G271" s="14">
        <v>60</v>
      </c>
      <c r="H271" s="22"/>
      <c r="I271" s="14">
        <f t="shared" si="57"/>
        <v>0</v>
      </c>
      <c r="J271" s="33"/>
      <c r="K271" s="30"/>
    </row>
    <row r="272" spans="1:11" ht="15" customHeight="1">
      <c r="A272" s="89" t="s">
        <v>246</v>
      </c>
      <c r="B272" s="90"/>
      <c r="C272" s="90"/>
      <c r="D272" s="91"/>
      <c r="E272" s="24">
        <v>80</v>
      </c>
      <c r="F272" s="23">
        <f t="shared" si="56"/>
        <v>0</v>
      </c>
      <c r="G272" s="14">
        <v>60</v>
      </c>
      <c r="H272" s="22"/>
      <c r="I272" s="14">
        <f t="shared" si="57"/>
        <v>0</v>
      </c>
      <c r="J272" s="33"/>
      <c r="K272" s="30"/>
    </row>
    <row r="273" spans="1:11" ht="15" customHeight="1">
      <c r="A273" s="131" t="s">
        <v>247</v>
      </c>
      <c r="B273" s="131" t="s">
        <v>248</v>
      </c>
      <c r="C273" s="131" t="s">
        <v>248</v>
      </c>
      <c r="D273" s="131" t="s">
        <v>248</v>
      </c>
      <c r="E273" s="42">
        <v>50</v>
      </c>
      <c r="F273" s="23">
        <f t="shared" si="56"/>
        <v>0</v>
      </c>
      <c r="G273" s="14">
        <v>60</v>
      </c>
      <c r="H273" s="22"/>
      <c r="I273" s="14">
        <f t="shared" si="57"/>
        <v>0</v>
      </c>
      <c r="J273" s="33"/>
      <c r="K273" s="30"/>
    </row>
    <row r="274" spans="1:11" ht="15" customHeight="1">
      <c r="A274" s="131" t="s">
        <v>249</v>
      </c>
      <c r="B274" s="131" t="s">
        <v>248</v>
      </c>
      <c r="C274" s="131" t="s">
        <v>248</v>
      </c>
      <c r="D274" s="131" t="s">
        <v>248</v>
      </c>
      <c r="E274" s="42">
        <v>50</v>
      </c>
      <c r="F274" s="23">
        <f t="shared" si="56"/>
        <v>0</v>
      </c>
      <c r="G274" s="14">
        <v>65</v>
      </c>
      <c r="H274" s="22"/>
      <c r="I274" s="14">
        <f t="shared" si="57"/>
        <v>0</v>
      </c>
      <c r="J274" s="33"/>
      <c r="K274" s="30"/>
    </row>
    <row r="275" spans="1:11" ht="15" customHeight="1">
      <c r="A275" s="131" t="s">
        <v>250</v>
      </c>
      <c r="B275" s="131" t="s">
        <v>248</v>
      </c>
      <c r="C275" s="131" t="s">
        <v>248</v>
      </c>
      <c r="D275" s="131" t="s">
        <v>248</v>
      </c>
      <c r="E275" s="42">
        <v>55</v>
      </c>
      <c r="F275" s="23">
        <f t="shared" si="56"/>
        <v>0</v>
      </c>
      <c r="G275" s="14">
        <v>90</v>
      </c>
      <c r="H275" s="22"/>
      <c r="I275" s="14">
        <f t="shared" ref="I275" si="58">H275*G275</f>
        <v>0</v>
      </c>
      <c r="J275" s="33"/>
      <c r="K275" s="30"/>
    </row>
    <row r="276" spans="1:11" ht="15" customHeight="1">
      <c r="A276" s="131" t="s">
        <v>251</v>
      </c>
      <c r="B276" s="131" t="s">
        <v>248</v>
      </c>
      <c r="C276" s="131" t="s">
        <v>248</v>
      </c>
      <c r="D276" s="131" t="s">
        <v>248</v>
      </c>
      <c r="E276" s="42">
        <v>60</v>
      </c>
      <c r="F276" s="23">
        <f t="shared" si="56"/>
        <v>0</v>
      </c>
      <c r="G276" s="14">
        <v>90</v>
      </c>
      <c r="H276" s="22"/>
      <c r="I276" s="14">
        <f t="shared" ref="I276" si="59">H276*G276</f>
        <v>0</v>
      </c>
      <c r="J276" s="33"/>
      <c r="K276" s="30"/>
    </row>
    <row r="277" spans="1:11" ht="15" customHeight="1">
      <c r="A277" s="131" t="s">
        <v>252</v>
      </c>
      <c r="B277" s="131" t="s">
        <v>248</v>
      </c>
      <c r="C277" s="131" t="s">
        <v>248</v>
      </c>
      <c r="D277" s="131" t="s">
        <v>248</v>
      </c>
      <c r="E277" s="42">
        <v>50</v>
      </c>
      <c r="F277" s="23">
        <f t="shared" si="56"/>
        <v>0</v>
      </c>
      <c r="G277" s="14">
        <v>80</v>
      </c>
      <c r="H277" s="22"/>
      <c r="I277" s="14">
        <f t="shared" si="57"/>
        <v>0</v>
      </c>
      <c r="J277" s="33"/>
      <c r="K277" s="30"/>
    </row>
    <row r="278" spans="1:11" ht="15" customHeight="1">
      <c r="A278" s="131" t="s">
        <v>253</v>
      </c>
      <c r="B278" s="131" t="s">
        <v>248</v>
      </c>
      <c r="C278" s="131" t="s">
        <v>248</v>
      </c>
      <c r="D278" s="131" t="s">
        <v>248</v>
      </c>
      <c r="E278" s="42">
        <v>50</v>
      </c>
      <c r="F278" s="23">
        <f t="shared" si="56"/>
        <v>0</v>
      </c>
      <c r="G278" s="14">
        <v>90</v>
      </c>
      <c r="H278" s="22"/>
      <c r="I278" s="14">
        <f t="shared" si="57"/>
        <v>0</v>
      </c>
      <c r="J278" s="33"/>
      <c r="K278" s="30"/>
    </row>
    <row r="279" spans="1:11" ht="15" customHeight="1">
      <c r="A279" s="118" t="s">
        <v>254</v>
      </c>
      <c r="B279" s="119"/>
      <c r="C279" s="119"/>
      <c r="D279" s="120"/>
      <c r="E279" s="24">
        <v>64</v>
      </c>
      <c r="F279" s="23">
        <f t="shared" si="56"/>
        <v>0</v>
      </c>
      <c r="G279" s="14">
        <v>230</v>
      </c>
      <c r="H279" s="22"/>
      <c r="I279" s="14">
        <f t="shared" si="57"/>
        <v>0</v>
      </c>
      <c r="J279" s="33"/>
      <c r="K279" s="30"/>
    </row>
    <row r="280" spans="1:11" ht="15" customHeight="1">
      <c r="A280" s="118" t="s">
        <v>255</v>
      </c>
      <c r="B280" s="119"/>
      <c r="C280" s="119"/>
      <c r="D280" s="120"/>
      <c r="E280" s="42">
        <v>50</v>
      </c>
      <c r="F280" s="23">
        <f t="shared" si="56"/>
        <v>0</v>
      </c>
      <c r="G280" s="14">
        <v>230</v>
      </c>
      <c r="H280" s="22"/>
      <c r="I280" s="14">
        <f t="shared" si="57"/>
        <v>0</v>
      </c>
      <c r="J280" s="33"/>
      <c r="K280" s="30"/>
    </row>
    <row r="281" spans="1:11" ht="15" customHeight="1">
      <c r="A281" s="118" t="s">
        <v>256</v>
      </c>
      <c r="B281" s="119"/>
      <c r="C281" s="119"/>
      <c r="D281" s="120"/>
      <c r="E281" s="42">
        <v>50</v>
      </c>
      <c r="F281" s="23">
        <f t="shared" si="56"/>
        <v>0</v>
      </c>
      <c r="G281" s="14">
        <v>220</v>
      </c>
      <c r="H281" s="27"/>
      <c r="I281" s="14">
        <f t="shared" si="57"/>
        <v>0</v>
      </c>
      <c r="J281" s="33"/>
      <c r="K281" s="30"/>
    </row>
    <row r="282" spans="1:11" ht="15" customHeight="1">
      <c r="A282" s="118" t="s">
        <v>257</v>
      </c>
      <c r="B282" s="119"/>
      <c r="C282" s="119"/>
      <c r="D282" s="120"/>
      <c r="E282" s="42">
        <v>50</v>
      </c>
      <c r="F282" s="23">
        <f t="shared" si="56"/>
        <v>0</v>
      </c>
      <c r="G282" s="14">
        <v>170</v>
      </c>
      <c r="H282" s="22"/>
      <c r="I282" s="14">
        <f t="shared" si="57"/>
        <v>0</v>
      </c>
      <c r="J282" s="33"/>
      <c r="K282" s="30"/>
    </row>
    <row r="283" spans="1:11" ht="15" customHeight="1">
      <c r="A283" s="118" t="s">
        <v>258</v>
      </c>
      <c r="B283" s="119"/>
      <c r="C283" s="119"/>
      <c r="D283" s="120"/>
      <c r="E283" s="24">
        <v>40</v>
      </c>
      <c r="F283" s="23">
        <f t="shared" si="56"/>
        <v>0</v>
      </c>
      <c r="G283" s="14">
        <v>180</v>
      </c>
      <c r="H283" s="22"/>
      <c r="I283" s="14">
        <f t="shared" si="57"/>
        <v>0</v>
      </c>
      <c r="J283" s="33"/>
      <c r="K283" s="30"/>
    </row>
    <row r="284" spans="1:11" ht="15" customHeight="1">
      <c r="A284" s="121" t="s">
        <v>259</v>
      </c>
      <c r="B284" s="122"/>
      <c r="C284" s="122"/>
      <c r="D284" s="123"/>
      <c r="E284" s="42">
        <v>45</v>
      </c>
      <c r="F284" s="23">
        <f t="shared" si="56"/>
        <v>0</v>
      </c>
      <c r="G284" s="14">
        <v>120</v>
      </c>
      <c r="H284" s="22"/>
      <c r="I284" s="14">
        <f t="shared" si="57"/>
        <v>0</v>
      </c>
      <c r="J284" s="33"/>
      <c r="K284" s="30"/>
    </row>
    <row r="285" spans="1:11" ht="15" customHeight="1">
      <c r="A285" s="92" t="s">
        <v>260</v>
      </c>
      <c r="B285" s="124"/>
      <c r="C285" s="124"/>
      <c r="D285" s="124"/>
      <c r="E285" s="52">
        <v>40</v>
      </c>
      <c r="F285" s="23">
        <f t="shared" si="56"/>
        <v>0</v>
      </c>
      <c r="G285" s="14">
        <v>170</v>
      </c>
      <c r="H285" s="27"/>
      <c r="I285" s="14">
        <f t="shared" si="57"/>
        <v>0</v>
      </c>
      <c r="J285" s="33"/>
      <c r="K285" s="30"/>
    </row>
    <row r="286" spans="1:11" ht="15" customHeight="1">
      <c r="A286" s="125" t="s">
        <v>261</v>
      </c>
      <c r="B286" s="126"/>
      <c r="C286" s="126"/>
      <c r="D286" s="127"/>
      <c r="E286" s="52">
        <v>30</v>
      </c>
      <c r="F286" s="23">
        <f t="shared" si="56"/>
        <v>0</v>
      </c>
      <c r="G286" s="14">
        <v>150</v>
      </c>
      <c r="H286" s="27"/>
      <c r="I286" s="14">
        <f t="shared" si="57"/>
        <v>0</v>
      </c>
      <c r="J286" s="33"/>
    </row>
    <row r="287" spans="1:11" ht="25.05" customHeight="1">
      <c r="A287" s="125" t="s">
        <v>262</v>
      </c>
      <c r="B287" s="126"/>
      <c r="C287" s="126"/>
      <c r="D287" s="127"/>
      <c r="E287" s="52">
        <v>35</v>
      </c>
      <c r="F287" s="23">
        <f t="shared" si="56"/>
        <v>0</v>
      </c>
      <c r="G287" s="14">
        <v>130</v>
      </c>
      <c r="H287" s="27"/>
      <c r="I287" s="14">
        <f t="shared" si="57"/>
        <v>0</v>
      </c>
      <c r="J287" s="33"/>
    </row>
    <row r="288" spans="1:11" ht="15" customHeight="1">
      <c r="A288" s="128" t="s">
        <v>263</v>
      </c>
      <c r="B288" s="129"/>
      <c r="C288" s="129"/>
      <c r="D288" s="129"/>
      <c r="E288" s="129"/>
      <c r="F288" s="129"/>
      <c r="G288" s="129"/>
      <c r="H288" s="129"/>
      <c r="I288" s="129"/>
      <c r="J288" s="130"/>
    </row>
    <row r="289" spans="1:10" ht="15" customHeight="1">
      <c r="A289" s="92" t="s">
        <v>264</v>
      </c>
      <c r="B289" s="93"/>
      <c r="C289" s="93"/>
      <c r="D289" s="93"/>
      <c r="E289" s="52">
        <v>100</v>
      </c>
      <c r="F289" s="23">
        <f t="shared" ref="F289" si="60">E289*H289/$D$10</f>
        <v>0</v>
      </c>
      <c r="G289" s="52">
        <v>250</v>
      </c>
      <c r="H289" s="28"/>
      <c r="I289" s="74">
        <f>G289*H289</f>
        <v>0</v>
      </c>
      <c r="J289" s="47"/>
    </row>
    <row r="290" spans="1:10" ht="15" customHeight="1">
      <c r="A290" s="92" t="s">
        <v>265</v>
      </c>
      <c r="B290" s="93"/>
      <c r="C290" s="93"/>
      <c r="D290" s="93"/>
      <c r="E290" s="52">
        <v>1000</v>
      </c>
      <c r="F290" s="23">
        <f t="shared" si="56"/>
        <v>0</v>
      </c>
      <c r="G290" s="52">
        <v>320</v>
      </c>
      <c r="H290" s="28"/>
      <c r="I290" s="74">
        <f>G290*H290</f>
        <v>0</v>
      </c>
      <c r="J290" s="47"/>
    </row>
    <row r="291" spans="1:10" ht="15" customHeight="1">
      <c r="A291" s="94" t="s">
        <v>266</v>
      </c>
      <c r="B291" s="95"/>
      <c r="C291" s="95"/>
      <c r="D291" s="95"/>
      <c r="E291" s="95"/>
      <c r="F291" s="95"/>
      <c r="G291" s="95"/>
      <c r="H291" s="95"/>
      <c r="I291" s="95"/>
      <c r="J291" s="75">
        <f>SUM(I13:I290)</f>
        <v>0</v>
      </c>
    </row>
    <row r="292" spans="1:10" ht="24.9" customHeight="1">
      <c r="A292" s="96" t="s">
        <v>267</v>
      </c>
      <c r="B292" s="97"/>
      <c r="C292" s="97"/>
      <c r="D292" s="97"/>
      <c r="E292" s="97"/>
      <c r="F292" s="97"/>
      <c r="G292" s="97"/>
      <c r="H292" s="97"/>
      <c r="I292" s="97"/>
      <c r="J292" s="76">
        <f>SUM(F15:F287)</f>
        <v>0</v>
      </c>
    </row>
    <row r="293" spans="1:10" ht="15" customHeight="1">
      <c r="A293" s="108" t="s">
        <v>268</v>
      </c>
      <c r="B293" s="109"/>
      <c r="C293" s="109"/>
      <c r="D293" s="109"/>
      <c r="E293" s="109"/>
      <c r="F293" s="109"/>
      <c r="G293" s="109"/>
      <c r="H293" s="109"/>
      <c r="I293" s="109"/>
      <c r="J293" s="109"/>
    </row>
    <row r="294" spans="1:10" ht="25.05" customHeight="1">
      <c r="A294" s="103" t="s">
        <v>18</v>
      </c>
      <c r="B294" s="104"/>
      <c r="C294" s="104"/>
      <c r="D294" s="104"/>
      <c r="E294" s="12" t="s">
        <v>19</v>
      </c>
      <c r="F294" s="12" t="s">
        <v>20</v>
      </c>
      <c r="G294" s="12" t="s">
        <v>21</v>
      </c>
      <c r="H294" s="12" t="s">
        <v>22</v>
      </c>
      <c r="I294" s="12" t="s">
        <v>23</v>
      </c>
      <c r="J294" s="12"/>
    </row>
    <row r="295" spans="1:10" ht="15" customHeight="1">
      <c r="A295" s="110" t="s">
        <v>269</v>
      </c>
      <c r="B295" s="111"/>
      <c r="C295" s="111"/>
      <c r="D295" s="112"/>
      <c r="E295" s="24">
        <v>500</v>
      </c>
      <c r="F295" s="14"/>
      <c r="G295" s="24">
        <v>100</v>
      </c>
      <c r="H295" s="24"/>
      <c r="I295" s="14">
        <f t="shared" ref="I295:I301" si="61">G295*H295</f>
        <v>0</v>
      </c>
      <c r="J295" s="33"/>
    </row>
    <row r="296" spans="1:10" ht="15" customHeight="1">
      <c r="A296" s="110" t="s">
        <v>270</v>
      </c>
      <c r="B296" s="111"/>
      <c r="C296" s="111"/>
      <c r="D296" s="112"/>
      <c r="E296" s="24">
        <v>500</v>
      </c>
      <c r="F296" s="14"/>
      <c r="G296" s="24">
        <v>300</v>
      </c>
      <c r="H296" s="24"/>
      <c r="I296" s="14">
        <f t="shared" si="61"/>
        <v>0</v>
      </c>
      <c r="J296" s="33"/>
    </row>
    <row r="297" spans="1:10" ht="15" customHeight="1">
      <c r="A297" s="89" t="s">
        <v>271</v>
      </c>
      <c r="B297" s="90"/>
      <c r="C297" s="90"/>
      <c r="D297" s="91"/>
      <c r="E297" s="24"/>
      <c r="F297" s="14"/>
      <c r="G297" s="24">
        <v>35</v>
      </c>
      <c r="H297" s="24"/>
      <c r="I297" s="14">
        <f t="shared" si="61"/>
        <v>0</v>
      </c>
      <c r="J297" s="33"/>
    </row>
    <row r="298" spans="1:10" ht="15" customHeight="1">
      <c r="A298" s="89" t="s">
        <v>272</v>
      </c>
      <c r="B298" s="90"/>
      <c r="C298" s="90"/>
      <c r="D298" s="91"/>
      <c r="E298" s="24"/>
      <c r="F298" s="14"/>
      <c r="G298" s="24">
        <v>50</v>
      </c>
      <c r="H298" s="24"/>
      <c r="I298" s="14">
        <f t="shared" si="61"/>
        <v>0</v>
      </c>
      <c r="J298" s="33"/>
    </row>
    <row r="299" spans="1:10" ht="15" customHeight="1">
      <c r="A299" s="89" t="s">
        <v>273</v>
      </c>
      <c r="B299" s="90"/>
      <c r="C299" s="90"/>
      <c r="D299" s="91"/>
      <c r="E299" s="24"/>
      <c r="F299" s="14"/>
      <c r="G299" s="24">
        <v>20</v>
      </c>
      <c r="H299" s="24"/>
      <c r="I299" s="14">
        <f t="shared" si="61"/>
        <v>0</v>
      </c>
      <c r="J299" s="33"/>
    </row>
    <row r="300" spans="1:10" ht="15" customHeight="1">
      <c r="A300" s="116" t="s">
        <v>274</v>
      </c>
      <c r="B300" s="117"/>
      <c r="C300" s="117"/>
      <c r="D300" s="117"/>
      <c r="E300" s="24">
        <v>400</v>
      </c>
      <c r="F300" s="14"/>
      <c r="G300" s="24">
        <v>140</v>
      </c>
      <c r="H300" s="24"/>
      <c r="I300" s="14">
        <f t="shared" si="61"/>
        <v>0</v>
      </c>
      <c r="J300" s="33"/>
    </row>
    <row r="301" spans="1:10" ht="15" customHeight="1">
      <c r="A301" s="89" t="s">
        <v>275</v>
      </c>
      <c r="B301" s="90"/>
      <c r="C301" s="90"/>
      <c r="D301" s="91"/>
      <c r="E301" s="24">
        <v>150</v>
      </c>
      <c r="F301" s="14"/>
      <c r="G301" s="24">
        <v>170</v>
      </c>
      <c r="H301" s="24"/>
      <c r="I301" s="14">
        <f t="shared" si="61"/>
        <v>0</v>
      </c>
      <c r="J301" s="33"/>
    </row>
    <row r="302" spans="1:10" ht="15" customHeight="1">
      <c r="A302" s="92" t="s">
        <v>276</v>
      </c>
      <c r="B302" s="93"/>
      <c r="C302" s="93"/>
      <c r="D302" s="93"/>
      <c r="E302" s="52" t="s">
        <v>277</v>
      </c>
      <c r="F302" s="14"/>
      <c r="G302" s="52">
        <v>100</v>
      </c>
      <c r="H302" s="28"/>
      <c r="I302" s="74">
        <f t="shared" ref="I302" si="62">G302*H302</f>
        <v>0</v>
      </c>
      <c r="J302" s="47"/>
    </row>
    <row r="303" spans="1:10" ht="15" customHeight="1">
      <c r="A303" s="94" t="s">
        <v>278</v>
      </c>
      <c r="B303" s="95"/>
      <c r="C303" s="95"/>
      <c r="D303" s="95"/>
      <c r="E303" s="95"/>
      <c r="F303" s="95"/>
      <c r="G303" s="95"/>
      <c r="H303" s="95"/>
      <c r="I303" s="95"/>
      <c r="J303" s="77">
        <f>SUM(I295:I302)</f>
        <v>0</v>
      </c>
    </row>
    <row r="304" spans="1:10" ht="15" customHeight="1">
      <c r="A304" s="94" t="s">
        <v>279</v>
      </c>
      <c r="B304" s="95"/>
      <c r="C304" s="95"/>
      <c r="D304" s="95"/>
      <c r="E304" s="95"/>
      <c r="F304" s="95"/>
      <c r="G304" s="95"/>
      <c r="H304" s="95"/>
      <c r="I304" s="95"/>
      <c r="J304" s="77">
        <f>SUM(J291,J303)</f>
        <v>0</v>
      </c>
    </row>
    <row r="305" spans="1:10" ht="15" customHeight="1">
      <c r="A305" s="96" t="s">
        <v>280</v>
      </c>
      <c r="B305" s="97"/>
      <c r="C305" s="97"/>
      <c r="D305" s="97"/>
      <c r="E305" s="97"/>
      <c r="F305" s="97"/>
      <c r="G305" s="97"/>
      <c r="H305" s="97"/>
      <c r="I305" s="97"/>
      <c r="J305" s="78">
        <f>J304/D10</f>
        <v>0</v>
      </c>
    </row>
    <row r="306" spans="1:10" ht="15" customHeight="1">
      <c r="A306" s="98" t="s">
        <v>281</v>
      </c>
      <c r="B306" s="99"/>
      <c r="C306" s="99"/>
      <c r="D306" s="99"/>
      <c r="E306" s="99"/>
      <c r="F306" s="99"/>
      <c r="G306" s="99"/>
      <c r="H306" s="99"/>
      <c r="I306" s="100"/>
      <c r="J306" s="77"/>
    </row>
    <row r="307" spans="1:10" ht="15" customHeight="1">
      <c r="A307" s="101" t="s">
        <v>282</v>
      </c>
      <c r="B307" s="102"/>
      <c r="C307" s="102"/>
      <c r="D307" s="102"/>
      <c r="E307" s="102"/>
      <c r="F307" s="102"/>
      <c r="G307" s="102"/>
      <c r="H307" s="102"/>
      <c r="I307" s="102"/>
      <c r="J307" s="79">
        <f>J306+J304</f>
        <v>0</v>
      </c>
    </row>
    <row r="308" spans="1:10" ht="15" customHeight="1">
      <c r="A308" s="96" t="s">
        <v>283</v>
      </c>
      <c r="B308" s="97"/>
      <c r="C308" s="97"/>
      <c r="D308" s="97"/>
      <c r="E308" s="97"/>
      <c r="F308" s="97"/>
      <c r="G308" s="97"/>
      <c r="H308" s="97"/>
      <c r="I308" s="97"/>
      <c r="J308" s="80">
        <f>J307/$D$10</f>
        <v>0</v>
      </c>
    </row>
  </sheetData>
  <mergeCells count="320">
    <mergeCell ref="A1:C1"/>
    <mergeCell ref="E1:J1"/>
    <mergeCell ref="A2:C2"/>
    <mergeCell ref="I2:J2"/>
    <mergeCell ref="A3:C3"/>
    <mergeCell ref="A5:J5"/>
    <mergeCell ref="F6:H6"/>
    <mergeCell ref="A8:C8"/>
    <mergeCell ref="D8:E8"/>
    <mergeCell ref="I8:J8"/>
    <mergeCell ref="I3:J4"/>
    <mergeCell ref="B9:C9"/>
    <mergeCell ref="G9:H9"/>
    <mergeCell ref="I9:J9"/>
    <mergeCell ref="B10:C10"/>
    <mergeCell ref="G10:H10"/>
    <mergeCell ref="I10:J10"/>
    <mergeCell ref="A11:D11"/>
    <mergeCell ref="E11:H11"/>
    <mergeCell ref="I11:J11"/>
    <mergeCell ref="A12:D12"/>
    <mergeCell ref="E12:H12"/>
    <mergeCell ref="I12:J12"/>
    <mergeCell ref="A13:J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J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4:J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86:D86"/>
    <mergeCell ref="A87:D87"/>
    <mergeCell ref="A88:D88"/>
    <mergeCell ref="A89:D89"/>
    <mergeCell ref="A101:J101"/>
    <mergeCell ref="A85:D85"/>
    <mergeCell ref="A102:D102"/>
    <mergeCell ref="A103:D103"/>
    <mergeCell ref="A104:D104"/>
    <mergeCell ref="A105:D105"/>
    <mergeCell ref="A106:D106"/>
    <mergeCell ref="A107:D107"/>
    <mergeCell ref="A108:D108"/>
    <mergeCell ref="A90:D90"/>
    <mergeCell ref="A91:D91"/>
    <mergeCell ref="A92:D92"/>
    <mergeCell ref="A93:D93"/>
    <mergeCell ref="A94:D94"/>
    <mergeCell ref="A95:D95"/>
    <mergeCell ref="A96:D96"/>
    <mergeCell ref="A97:J97"/>
    <mergeCell ref="A98:D98"/>
    <mergeCell ref="A99:D99"/>
    <mergeCell ref="A100:D100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2:J122"/>
    <mergeCell ref="A121:D121"/>
    <mergeCell ref="A123:D123"/>
    <mergeCell ref="A124:D124"/>
    <mergeCell ref="A125:D125"/>
    <mergeCell ref="A126:D126"/>
    <mergeCell ref="A136:D136"/>
    <mergeCell ref="A143:J143"/>
    <mergeCell ref="A144:D144"/>
    <mergeCell ref="A145:D145"/>
    <mergeCell ref="A146:D146"/>
    <mergeCell ref="A137:J137"/>
    <mergeCell ref="A138:D138"/>
    <mergeCell ref="A139:D139"/>
    <mergeCell ref="A127:D127"/>
    <mergeCell ref="A128:D128"/>
    <mergeCell ref="A129:D129"/>
    <mergeCell ref="A130:D130"/>
    <mergeCell ref="A131:D131"/>
    <mergeCell ref="A132:D132"/>
    <mergeCell ref="A133:D133"/>
    <mergeCell ref="A134:D134"/>
    <mergeCell ref="A135:D135"/>
    <mergeCell ref="A142:D142"/>
    <mergeCell ref="M144:P144"/>
    <mergeCell ref="A147:D147"/>
    <mergeCell ref="A148:D148"/>
    <mergeCell ref="A149:D149"/>
    <mergeCell ref="A150:D150"/>
    <mergeCell ref="A151:D151"/>
    <mergeCell ref="A152:D152"/>
    <mergeCell ref="A153:D153"/>
    <mergeCell ref="A154:D154"/>
    <mergeCell ref="A155:D155"/>
    <mergeCell ref="A156:D156"/>
    <mergeCell ref="A157:D157"/>
    <mergeCell ref="A158:D158"/>
    <mergeCell ref="A159:D159"/>
    <mergeCell ref="A160:D160"/>
    <mergeCell ref="A161:D161"/>
    <mergeCell ref="A162:D162"/>
    <mergeCell ref="A163:D163"/>
    <mergeCell ref="A164:D164"/>
    <mergeCell ref="A165:D165"/>
    <mergeCell ref="A166:D166"/>
    <mergeCell ref="A167:D167"/>
    <mergeCell ref="A168:D168"/>
    <mergeCell ref="A169:D169"/>
    <mergeCell ref="A170:D170"/>
    <mergeCell ref="A171:D171"/>
    <mergeCell ref="A172:D172"/>
    <mergeCell ref="A173:J173"/>
    <mergeCell ref="A174:D174"/>
    <mergeCell ref="A175:D175"/>
    <mergeCell ref="A176:D176"/>
    <mergeCell ref="A177:D177"/>
    <mergeCell ref="A178:D178"/>
    <mergeCell ref="A179:D179"/>
    <mergeCell ref="A180:D180"/>
    <mergeCell ref="A181:D181"/>
    <mergeCell ref="A182:D182"/>
    <mergeCell ref="A183:J183"/>
    <mergeCell ref="A184:D184"/>
    <mergeCell ref="A185:D185"/>
    <mergeCell ref="A187:D187"/>
    <mergeCell ref="A189:D189"/>
    <mergeCell ref="A190:D190"/>
    <mergeCell ref="A191:J191"/>
    <mergeCell ref="A192:D192"/>
    <mergeCell ref="A193:J193"/>
    <mergeCell ref="A194:D194"/>
    <mergeCell ref="A195:D195"/>
    <mergeCell ref="A196:D196"/>
    <mergeCell ref="A197:D197"/>
    <mergeCell ref="A198:D198"/>
    <mergeCell ref="A199:D199"/>
    <mergeCell ref="A200:D200"/>
    <mergeCell ref="A201:D201"/>
    <mergeCell ref="A202:D202"/>
    <mergeCell ref="A203:D203"/>
    <mergeCell ref="A204:D204"/>
    <mergeCell ref="A205:D205"/>
    <mergeCell ref="A206:D206"/>
    <mergeCell ref="A207:D207"/>
    <mergeCell ref="A208:D208"/>
    <mergeCell ref="A209:D209"/>
    <mergeCell ref="A210:D210"/>
    <mergeCell ref="A211:D211"/>
    <mergeCell ref="A212:D212"/>
    <mergeCell ref="A213:D213"/>
    <mergeCell ref="A214:D214"/>
    <mergeCell ref="A215:J215"/>
    <mergeCell ref="A216:D216"/>
    <mergeCell ref="A217:D217"/>
    <mergeCell ref="A218:D218"/>
    <mergeCell ref="A219:D219"/>
    <mergeCell ref="A220:D220"/>
    <mergeCell ref="A221:D221"/>
    <mergeCell ref="A222:D222"/>
    <mergeCell ref="A223:D223"/>
    <mergeCell ref="A224:D224"/>
    <mergeCell ref="A225:J225"/>
    <mergeCell ref="A226:D226"/>
    <mergeCell ref="A227:D227"/>
    <mergeCell ref="A228:D228"/>
    <mergeCell ref="A229:D229"/>
    <mergeCell ref="A230:D230"/>
    <mergeCell ref="A231:D231"/>
    <mergeCell ref="A232:D232"/>
    <mergeCell ref="A233:D233"/>
    <mergeCell ref="A234:J234"/>
    <mergeCell ref="A235:D235"/>
    <mergeCell ref="A236:D236"/>
    <mergeCell ref="A237:D237"/>
    <mergeCell ref="A238:D238"/>
    <mergeCell ref="A239:D239"/>
    <mergeCell ref="A240:D240"/>
    <mergeCell ref="A241:J241"/>
    <mergeCell ref="A242:D242"/>
    <mergeCell ref="A243:D243"/>
    <mergeCell ref="A244:D244"/>
    <mergeCell ref="A245:D245"/>
    <mergeCell ref="A246:D246"/>
    <mergeCell ref="A247:D247"/>
    <mergeCell ref="A248:D248"/>
    <mergeCell ref="M246:P246"/>
    <mergeCell ref="A249:J249"/>
    <mergeCell ref="A250:D250"/>
    <mergeCell ref="A251:D251"/>
    <mergeCell ref="A252:D252"/>
    <mergeCell ref="A253:D253"/>
    <mergeCell ref="A254:J254"/>
    <mergeCell ref="A255:D255"/>
    <mergeCell ref="A256:D256"/>
    <mergeCell ref="A257:D257"/>
    <mergeCell ref="A258:D258"/>
    <mergeCell ref="A259:D259"/>
    <mergeCell ref="A260:D260"/>
    <mergeCell ref="A261:J261"/>
    <mergeCell ref="A262:D262"/>
    <mergeCell ref="A263:D263"/>
    <mergeCell ref="A264:D264"/>
    <mergeCell ref="A265:D265"/>
    <mergeCell ref="A266:D266"/>
    <mergeCell ref="A268:D268"/>
    <mergeCell ref="A269:D269"/>
    <mergeCell ref="A270:D270"/>
    <mergeCell ref="A271:D271"/>
    <mergeCell ref="A272:D272"/>
    <mergeCell ref="A273:D273"/>
    <mergeCell ref="A274:D274"/>
    <mergeCell ref="A275:D275"/>
    <mergeCell ref="A276:D276"/>
    <mergeCell ref="A277:D277"/>
    <mergeCell ref="A278:D278"/>
    <mergeCell ref="A279:D279"/>
    <mergeCell ref="A280:D280"/>
    <mergeCell ref="A281:D281"/>
    <mergeCell ref="A282:D282"/>
    <mergeCell ref="A297:D297"/>
    <mergeCell ref="A298:D298"/>
    <mergeCell ref="A299:D299"/>
    <mergeCell ref="A300:D300"/>
    <mergeCell ref="A283:D283"/>
    <mergeCell ref="A284:D284"/>
    <mergeCell ref="A285:D285"/>
    <mergeCell ref="A286:D286"/>
    <mergeCell ref="A287:D287"/>
    <mergeCell ref="A288:J288"/>
    <mergeCell ref="A289:D289"/>
    <mergeCell ref="A290:D290"/>
    <mergeCell ref="A291:I291"/>
    <mergeCell ref="A301:D301"/>
    <mergeCell ref="A302:D302"/>
    <mergeCell ref="A303:I303"/>
    <mergeCell ref="A304:I304"/>
    <mergeCell ref="A305:I305"/>
    <mergeCell ref="A306:I306"/>
    <mergeCell ref="A307:I307"/>
    <mergeCell ref="A308:I308"/>
    <mergeCell ref="D6:E7"/>
    <mergeCell ref="I6:J7"/>
    <mergeCell ref="A6:C7"/>
    <mergeCell ref="A79:D79"/>
    <mergeCell ref="A82:D82"/>
    <mergeCell ref="A81:D81"/>
    <mergeCell ref="A80:D80"/>
    <mergeCell ref="A83:D83"/>
    <mergeCell ref="A84:D84"/>
    <mergeCell ref="A292:I292"/>
    <mergeCell ref="A293:J293"/>
    <mergeCell ref="A294:D294"/>
    <mergeCell ref="A295:D295"/>
    <mergeCell ref="A296:D296"/>
    <mergeCell ref="A140:D140"/>
    <mergeCell ref="A141:D141"/>
  </mergeCells>
  <pageMargins left="0.25" right="0.25" top="0.75" bottom="0.75" header="0.3" footer="0.3"/>
  <pageSetup paperSize="9" orientation="portrait" r:id="rId1"/>
  <headerFooter>
    <oddFooter>&amp;L&amp;"Helvetica,Regular"&amp;11&amp;K000000	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DirVanil</dc:creator>
  <cp:lastModifiedBy>Белокуров Александр</cp:lastModifiedBy>
  <cp:lastPrinted>2025-01-21T12:40:00Z</cp:lastPrinted>
  <dcterms:created xsi:type="dcterms:W3CDTF">2015-08-21T15:05:00Z</dcterms:created>
  <dcterms:modified xsi:type="dcterms:W3CDTF">2026-02-11T11:03:39Z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3AA58AD02BFC4A52B482ED37DC4B3E0D_12</vt:lpwstr>
  </property>
  <property fmtid="{D5CDD505-2E9C-101B-9397-08002B2CF9AE}" pid="3" name="KSOProductBuildVer">
    <vt:lpwstr>1049-12.2.0.23131</vt:lpwstr>
  </property>
</Properties>
</file>