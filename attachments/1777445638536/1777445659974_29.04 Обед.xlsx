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ad.yarvolga.ru\Files\Office work\Банкетный менеджер\2026\Кейтеринг\04 Утвержденные\04 Апрель\29.04 Обед сопровождения\"/>
    </mc:Choice>
  </mc:AlternateContent>
  <xr:revisionPtr revIDLastSave="0" documentId="13_ncr:1_{44A8FEA2-B7C1-4D78-A3D9-BEDF99F04B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1" l="1"/>
  <c r="I18" i="1"/>
  <c r="I36" i="1"/>
  <c r="I35" i="1"/>
  <c r="I34" i="1"/>
  <c r="I33" i="1"/>
  <c r="I32" i="1"/>
  <c r="I27" i="1"/>
  <c r="F27" i="1"/>
  <c r="I26" i="1"/>
  <c r="F26" i="1"/>
  <c r="I25" i="1"/>
  <c r="F25" i="1"/>
  <c r="I21" i="1"/>
  <c r="F21" i="1"/>
  <c r="I15" i="1"/>
  <c r="F15" i="1"/>
  <c r="J28" i="1" l="1"/>
  <c r="J37" i="1"/>
  <c r="J29" i="1"/>
  <c r="J38" i="1" l="1"/>
  <c r="J39" i="1" s="1"/>
  <c r="J41" i="1" l="1"/>
  <c r="J42" i="1" s="1"/>
</calcChain>
</file>

<file path=xl/sharedStrings.xml><?xml version="1.0" encoding="utf-8"?>
<sst xmlns="http://schemas.openxmlformats.org/spreadsheetml/2006/main" count="78" uniqueCount="54">
  <si>
    <t>Менеджер службы кейтеринга</t>
  </si>
  <si>
    <t>Мероприятие</t>
  </si>
  <si>
    <t xml:space="preserve">Тайминг </t>
  </si>
  <si>
    <t>Выбранный зал</t>
  </si>
  <si>
    <t xml:space="preserve">Сбор гостей </t>
  </si>
  <si>
    <t>Начало</t>
  </si>
  <si>
    <t>Окон чание</t>
  </si>
  <si>
    <t>Дата проведения</t>
  </si>
  <si>
    <t xml:space="preserve">Рассадка </t>
  </si>
  <si>
    <t xml:space="preserve">Кол-во </t>
  </si>
  <si>
    <t>Аванс</t>
  </si>
  <si>
    <t>Дата внесения</t>
  </si>
  <si>
    <t>Форма оплаты</t>
  </si>
  <si>
    <t>Контактный телефон</t>
  </si>
  <si>
    <t>ФИО заказчика/ наименование организации</t>
  </si>
  <si>
    <t>E-mail</t>
  </si>
  <si>
    <t xml:space="preserve">Примечания </t>
  </si>
  <si>
    <t>Наименование</t>
  </si>
  <si>
    <t>Выход /гр</t>
  </si>
  <si>
    <t>Грамм /чел</t>
  </si>
  <si>
    <t>Цена</t>
  </si>
  <si>
    <t>Кол-во</t>
  </si>
  <si>
    <t>Сумма</t>
  </si>
  <si>
    <t>Салаты</t>
  </si>
  <si>
    <t>Горячие блюда</t>
  </si>
  <si>
    <t>Выпечка, бутерброды</t>
  </si>
  <si>
    <t>Мини-пирожки</t>
  </si>
  <si>
    <t>Пирожок с копченым сомом и щукой</t>
  </si>
  <si>
    <t>Пирожок с брусникой</t>
  </si>
  <si>
    <t>Хлебная корзина ВН</t>
  </si>
  <si>
    <t>Итого кухня</t>
  </si>
  <si>
    <t>Итого грамм на персону без напитков</t>
  </si>
  <si>
    <t xml:space="preserve">Безалкогольные напитки </t>
  </si>
  <si>
    <t>Вода "Хрустальная"  газ/ б/г</t>
  </si>
  <si>
    <t>Чай пакетированный</t>
  </si>
  <si>
    <t>Кофе "Капуччино</t>
  </si>
  <si>
    <t>Кофе "Эспрессо", "Американо"</t>
  </si>
  <si>
    <t>30/120</t>
  </si>
  <si>
    <t xml:space="preserve">Итого бар </t>
  </si>
  <si>
    <t>Итого кухня + бар</t>
  </si>
  <si>
    <t>Итого кухня + бар на персону</t>
  </si>
  <si>
    <t>Аренда, услуги, логистика</t>
  </si>
  <si>
    <t>ИТОГО ПО ВСЕМ РАЗДЕЛАМ</t>
  </si>
  <si>
    <t>Итого по всем разделам на персону</t>
  </si>
  <si>
    <t>Кейтеринг- меню 2026</t>
  </si>
  <si>
    <r>
      <t>Телятина, тушеная в соусе «Деми-Гласс»</t>
    </r>
    <r>
      <rPr>
        <sz val="10"/>
        <color rgb="FF000000"/>
        <rFont val="Calibri"/>
        <family val="2"/>
        <charset val="204"/>
      </rPr>
      <t xml:space="preserve"> с
запеченным картофелем и овощами.</t>
    </r>
  </si>
  <si>
    <t>Морс клюквенный</t>
  </si>
  <si>
    <t>ПО ФАКТУ</t>
  </si>
  <si>
    <t>Первые блюда</t>
  </si>
  <si>
    <t>Суп-лапша куриная</t>
  </si>
  <si>
    <t>Илья</t>
  </si>
  <si>
    <t>Столовая ПЯО</t>
  </si>
  <si>
    <t>ПЯО</t>
  </si>
  <si>
    <r>
      <rPr>
        <b/>
        <sz val="10"/>
        <color rgb="FF000000"/>
        <rFont val="Calibri"/>
        <family val="2"/>
        <charset val="204"/>
      </rPr>
      <t>"Цезарь"</t>
    </r>
    <r>
      <rPr>
        <sz val="10"/>
        <color indexed="8"/>
        <rFont val="Calibri"/>
        <family val="2"/>
        <charset val="204"/>
      </rPr>
      <t xml:space="preserve"> с цыпленком с анчоусно-масляной заправкой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</si>
</sst>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dd\.mm\.yyyy"/>
    <numFmt numFmtId="166" formatCode="#\ ##0&quot; р.&quot;"/>
    <numFmt numFmtId="167" formatCode="#\ ##0\ &quot;₽&quot;"/>
  </numFmts>
  <fonts count="14">
    <font>
      <sz val="12"/>
      <color indexed="8"/>
      <name val="Verdana"/>
      <charset val="134"/>
    </font>
    <font>
      <sz val="10"/>
      <color indexed="8"/>
      <name val="Verdana"/>
      <family val="2"/>
      <charset val="204"/>
    </font>
    <font>
      <sz val="10"/>
      <color indexed="8"/>
      <name val="Calibri"/>
      <family val="2"/>
      <charset val="204"/>
    </font>
    <font>
      <sz val="10"/>
      <color theme="0" tint="-4.9989318521683403E-2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5"/>
      <color indexed="8"/>
      <name val="Calibri"/>
      <family val="2"/>
      <charset val="204"/>
    </font>
    <font>
      <b/>
      <sz val="9"/>
      <color indexed="8"/>
      <name val="Calibri"/>
      <family val="2"/>
      <charset val="204"/>
    </font>
    <font>
      <u/>
      <sz val="10"/>
      <color indexed="11"/>
      <name val="Calibri"/>
      <family val="2"/>
      <charset val="204"/>
    </font>
    <font>
      <sz val="10"/>
      <name val="Calibri"/>
      <family val="2"/>
      <charset val="204"/>
    </font>
    <font>
      <sz val="12"/>
      <color indexed="8"/>
      <name val="Verdana"/>
      <family val="2"/>
      <charset val="204"/>
    </font>
    <font>
      <sz val="10"/>
      <color rgb="FF000000"/>
      <name val="Calibri"/>
      <family val="2"/>
      <charset val="204"/>
    </font>
    <font>
      <b/>
      <sz val="24"/>
      <color indexed="8"/>
      <name val="Calibri"/>
      <family val="2"/>
      <charset val="204"/>
    </font>
    <font>
      <b/>
      <sz val="10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CD2"/>
        <bgColor indexed="64"/>
      </patternFill>
    </fill>
    <fill>
      <patternFill patternType="solid">
        <fgColor indexed="1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0" fillId="0" borderId="0" applyNumberFormat="0" applyFill="0" applyBorder="0" applyProtection="0">
      <alignment vertical="top" wrapText="1"/>
    </xf>
  </cellStyleXfs>
  <cellXfs count="100">
    <xf numFmtId="0" fontId="0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top" wrapText="1"/>
    </xf>
    <xf numFmtId="0" fontId="2" fillId="0" borderId="0" xfId="0" applyNumberFormat="1" applyFont="1" applyAlignment="1"/>
    <xf numFmtId="0" fontId="1" fillId="0" borderId="0" xfId="0" applyFont="1" applyAlignment="1">
      <alignment vertical="top" wrapText="1"/>
    </xf>
    <xf numFmtId="0" fontId="2" fillId="0" borderId="0" xfId="0" applyFont="1" applyBorder="1" applyAlignment="1">
      <alignment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/>
    <xf numFmtId="0" fontId="2" fillId="2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Border="1" applyAlignment="1">
      <alignment vertical="center" wrapText="1"/>
    </xf>
    <xf numFmtId="0" fontId="2" fillId="0" borderId="0" xfId="0" applyNumberFormat="1" applyFont="1" applyBorder="1" applyAlignment="1"/>
    <xf numFmtId="0" fontId="2" fillId="0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67" fontId="5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0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right" vertical="center" wrapText="1"/>
    </xf>
    <xf numFmtId="0" fontId="5" fillId="3" borderId="4" xfId="0" applyNumberFormat="1" applyFont="1" applyFill="1" applyBorder="1" applyAlignment="1">
      <alignment horizontal="right" vertical="center" wrapText="1"/>
    </xf>
    <xf numFmtId="0" fontId="4" fillId="3" borderId="1" xfId="0" applyNumberFormat="1" applyFont="1" applyFill="1" applyBorder="1" applyAlignment="1">
      <alignment horizontal="right" vertical="center" wrapText="1"/>
    </xf>
    <xf numFmtId="1" fontId="4" fillId="3" borderId="1" xfId="0" applyNumberFormat="1" applyFont="1" applyFill="1" applyBorder="1" applyAlignment="1">
      <alignment horizontal="right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shrinkToFit="1"/>
    </xf>
    <xf numFmtId="0" fontId="2" fillId="0" borderId="3" xfId="0" applyNumberFormat="1" applyFont="1" applyFill="1" applyBorder="1" applyAlignment="1">
      <alignment horizontal="left" vertical="center" shrinkToFit="1"/>
    </xf>
    <xf numFmtId="0" fontId="2" fillId="0" borderId="4" xfId="0" applyNumberFormat="1" applyFont="1" applyFill="1" applyBorder="1" applyAlignment="1">
      <alignment horizontal="left" vertical="center" shrinkToFit="1"/>
    </xf>
    <xf numFmtId="0" fontId="2" fillId="0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left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 applyBorder="1" applyAlignment="1">
      <alignment horizontal="right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left" vertical="center" wrapText="1"/>
    </xf>
    <xf numFmtId="1" fontId="2" fillId="0" borderId="1" xfId="1" applyNumberFormat="1" applyFont="1" applyFill="1" applyBorder="1" applyAlignment="1">
      <alignment horizontal="left" vertical="center" wrapText="1"/>
    </xf>
    <xf numFmtId="0" fontId="2" fillId="0" borderId="1" xfId="1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1" fontId="2" fillId="0" borderId="7" xfId="0" applyNumberFormat="1" applyFont="1" applyFill="1" applyBorder="1" applyAlignment="1">
      <alignment horizontal="center" vertical="center" wrapText="1"/>
    </xf>
    <xf numFmtId="1" fontId="2" fillId="0" borderId="8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left" vertical="center" wrapText="1"/>
    </xf>
    <xf numFmtId="0" fontId="9" fillId="0" borderId="3" xfId="0" applyNumberFormat="1" applyFont="1" applyFill="1" applyBorder="1" applyAlignment="1">
      <alignment horizontal="left" vertical="center" wrapText="1"/>
    </xf>
    <xf numFmtId="0" fontId="9" fillId="0" borderId="4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164" fontId="12" fillId="0" borderId="0" xfId="0" applyNumberFormat="1" applyFont="1" applyBorder="1" applyAlignment="1">
      <alignment horizontal="right" vertical="center" wrapText="1"/>
    </xf>
    <xf numFmtId="164" fontId="12" fillId="0" borderId="6" xfId="0" applyNumberFormat="1" applyFont="1" applyBorder="1" applyAlignment="1">
      <alignment horizontal="right" vertical="center" wrapText="1"/>
    </xf>
  </cellXfs>
  <cellStyles count="2">
    <cellStyle name="Обычный" xfId="0" builtinId="0"/>
    <cellStyle name="Обычный 2" xfId="1" xr:uid="{00000000-0005-0000-0000-00003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CD2"/>
      <color rgb="FFCED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8</xdr:col>
      <xdr:colOff>209550</xdr:colOff>
      <xdr:row>4</xdr:row>
      <xdr:rowOff>84283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C0C9920-405A-4835-B9EA-9A688D42D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70100" y="0"/>
          <a:ext cx="2711450" cy="973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I42"/>
  <sheetViews>
    <sheetView showGridLines="0" tabSelected="1" workbookViewId="0">
      <selection activeCell="J42" sqref="A1:J42"/>
    </sheetView>
  </sheetViews>
  <sheetFormatPr defaultColWidth="6.59765625" defaultRowHeight="15" customHeight="1"/>
  <cols>
    <col min="1" max="1" width="10.59765625" style="3" customWidth="1"/>
    <col min="2" max="2" width="5.06640625" style="3" customWidth="1"/>
    <col min="3" max="3" width="6.06640625" style="3" customWidth="1"/>
    <col min="4" max="4" width="4.796875" style="3" customWidth="1"/>
    <col min="5" max="5" width="5.3984375" style="3" customWidth="1"/>
    <col min="6" max="6" width="5.19921875" style="3" customWidth="1"/>
    <col min="7" max="7" width="4.796875" style="3" customWidth="1"/>
    <col min="8" max="8" width="5.86328125" style="3" customWidth="1"/>
    <col min="9" max="9" width="7.06640625" style="3" customWidth="1"/>
    <col min="10" max="10" width="13.46484375" style="3" customWidth="1"/>
    <col min="11" max="11" width="8.46484375" style="3" customWidth="1"/>
    <col min="12" max="243" width="6.59765625" style="3" customWidth="1"/>
    <col min="244" max="16384" width="6.59765625" style="4"/>
  </cols>
  <sheetData>
    <row r="1" spans="1:243" ht="12.75" customHeight="1">
      <c r="A1" s="80"/>
      <c r="B1" s="80"/>
      <c r="C1" s="80"/>
      <c r="D1" s="5"/>
      <c r="E1" s="81"/>
      <c r="F1" s="81"/>
      <c r="G1" s="82"/>
      <c r="H1" s="82"/>
      <c r="I1" s="82"/>
      <c r="J1" s="82"/>
      <c r="K1" s="22"/>
    </row>
    <row r="2" spans="1:243" ht="13.5" customHeight="1">
      <c r="A2" s="80"/>
      <c r="B2" s="80"/>
      <c r="C2" s="80"/>
      <c r="D2" s="5"/>
      <c r="E2" s="5"/>
      <c r="F2" s="5"/>
      <c r="G2" s="6"/>
      <c r="H2" s="5"/>
      <c r="I2" s="81"/>
      <c r="J2" s="82"/>
      <c r="K2" s="22"/>
    </row>
    <row r="3" spans="1:243" ht="15" customHeight="1">
      <c r="A3" s="80"/>
      <c r="B3" s="80"/>
      <c r="C3" s="80"/>
      <c r="D3" s="5"/>
      <c r="E3" s="7"/>
      <c r="F3" s="7"/>
      <c r="G3" s="8"/>
      <c r="H3" s="8"/>
      <c r="I3" s="98">
        <v>0.58333333333333337</v>
      </c>
      <c r="J3" s="98"/>
      <c r="K3" s="22"/>
    </row>
    <row r="4" spans="1:243" ht="29.25" customHeight="1">
      <c r="A4" s="5"/>
      <c r="B4" s="5"/>
      <c r="C4" s="5"/>
      <c r="D4" s="5"/>
      <c r="E4" s="5"/>
      <c r="F4" s="5"/>
      <c r="G4" s="6"/>
      <c r="H4" s="5"/>
      <c r="I4" s="99"/>
      <c r="J4" s="99"/>
      <c r="K4" s="22"/>
    </row>
    <row r="5" spans="1:243" ht="15" customHeight="1">
      <c r="A5" s="60" t="s">
        <v>44</v>
      </c>
      <c r="B5" s="61"/>
      <c r="C5" s="61"/>
      <c r="D5" s="61"/>
      <c r="E5" s="61"/>
      <c r="F5" s="61"/>
      <c r="G5" s="61"/>
      <c r="H5" s="61"/>
      <c r="I5" s="61"/>
      <c r="J5" s="61"/>
      <c r="K5" s="22"/>
    </row>
    <row r="6" spans="1:243" ht="15" customHeight="1">
      <c r="A6" s="58" t="s">
        <v>0</v>
      </c>
      <c r="B6" s="59"/>
      <c r="C6" s="59"/>
      <c r="D6" s="58" t="s">
        <v>1</v>
      </c>
      <c r="E6" s="59"/>
      <c r="F6" s="83" t="s">
        <v>2</v>
      </c>
      <c r="G6" s="84"/>
      <c r="H6" s="85"/>
      <c r="I6" s="58" t="s">
        <v>3</v>
      </c>
      <c r="J6" s="59"/>
      <c r="K6" s="22"/>
    </row>
    <row r="7" spans="1:243" s="1" customFormat="1" ht="25" customHeight="1">
      <c r="A7" s="59"/>
      <c r="B7" s="59"/>
      <c r="C7" s="59"/>
      <c r="D7" s="59"/>
      <c r="E7" s="59"/>
      <c r="F7" s="10" t="s">
        <v>4</v>
      </c>
      <c r="G7" s="9" t="s">
        <v>5</v>
      </c>
      <c r="H7" s="9" t="s">
        <v>6</v>
      </c>
      <c r="I7" s="59"/>
      <c r="J7" s="59"/>
      <c r="K7" s="23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</row>
    <row r="8" spans="1:243" ht="15" customHeight="1">
      <c r="A8" s="77" t="s">
        <v>50</v>
      </c>
      <c r="B8" s="77"/>
      <c r="C8" s="77"/>
      <c r="D8" s="77"/>
      <c r="E8" s="77"/>
      <c r="F8" s="12"/>
      <c r="G8" s="13">
        <v>0.64583333333333337</v>
      </c>
      <c r="H8" s="13"/>
      <c r="I8" s="77" t="s">
        <v>51</v>
      </c>
      <c r="J8" s="77"/>
      <c r="K8" s="22"/>
    </row>
    <row r="9" spans="1:243" ht="15" customHeight="1">
      <c r="A9" s="43" t="s">
        <v>7</v>
      </c>
      <c r="B9" s="58" t="s">
        <v>8</v>
      </c>
      <c r="C9" s="59"/>
      <c r="D9" s="9" t="s">
        <v>9</v>
      </c>
      <c r="E9" s="9" t="s">
        <v>10</v>
      </c>
      <c r="F9" s="14" t="s">
        <v>11</v>
      </c>
      <c r="G9" s="58" t="s">
        <v>12</v>
      </c>
      <c r="H9" s="59"/>
      <c r="I9" s="58" t="s">
        <v>13</v>
      </c>
      <c r="J9" s="59"/>
      <c r="K9" s="22"/>
    </row>
    <row r="10" spans="1:243" ht="15" customHeight="1">
      <c r="A10" s="15">
        <v>46141</v>
      </c>
      <c r="B10" s="77"/>
      <c r="C10" s="77"/>
      <c r="D10" s="16">
        <v>8</v>
      </c>
      <c r="E10" s="17"/>
      <c r="F10" s="17"/>
      <c r="G10" s="77"/>
      <c r="H10" s="77"/>
      <c r="I10" s="77"/>
      <c r="J10" s="77"/>
      <c r="K10" s="22"/>
    </row>
    <row r="11" spans="1:243" ht="15" customHeight="1">
      <c r="A11" s="78" t="s">
        <v>14</v>
      </c>
      <c r="B11" s="79"/>
      <c r="C11" s="79"/>
      <c r="D11" s="79"/>
      <c r="E11" s="58" t="s">
        <v>15</v>
      </c>
      <c r="F11" s="58"/>
      <c r="G11" s="59"/>
      <c r="H11" s="59"/>
      <c r="I11" s="58" t="s">
        <v>16</v>
      </c>
      <c r="J11" s="59"/>
      <c r="K11" s="22"/>
    </row>
    <row r="12" spans="1:243" ht="15" customHeight="1">
      <c r="A12" s="75" t="s">
        <v>52</v>
      </c>
      <c r="B12" s="75"/>
      <c r="C12" s="75"/>
      <c r="D12" s="75"/>
      <c r="E12" s="76"/>
      <c r="F12" s="76"/>
      <c r="G12" s="77"/>
      <c r="H12" s="77"/>
      <c r="I12" s="75"/>
      <c r="J12" s="75"/>
      <c r="K12" s="22"/>
    </row>
    <row r="13" spans="1:243" ht="15" customHeight="1">
      <c r="A13" s="60" t="s">
        <v>23</v>
      </c>
      <c r="B13" s="61"/>
      <c r="C13" s="61"/>
      <c r="D13" s="61"/>
      <c r="E13" s="61"/>
      <c r="F13" s="61"/>
      <c r="G13" s="61"/>
      <c r="H13" s="61"/>
      <c r="I13" s="61"/>
      <c r="J13" s="61"/>
      <c r="K13" s="22"/>
    </row>
    <row r="14" spans="1:243" ht="25" customHeight="1">
      <c r="A14" s="58" t="s">
        <v>17</v>
      </c>
      <c r="B14" s="59"/>
      <c r="C14" s="59"/>
      <c r="D14" s="59"/>
      <c r="E14" s="9" t="s">
        <v>18</v>
      </c>
      <c r="F14" s="9" t="s">
        <v>19</v>
      </c>
      <c r="G14" s="9" t="s">
        <v>20</v>
      </c>
      <c r="H14" s="9" t="s">
        <v>21</v>
      </c>
      <c r="I14" s="9" t="s">
        <v>22</v>
      </c>
      <c r="J14" s="9"/>
      <c r="K14" s="22"/>
    </row>
    <row r="15" spans="1:243" ht="25" customHeight="1">
      <c r="A15" s="65" t="s">
        <v>53</v>
      </c>
      <c r="B15" s="66"/>
      <c r="C15" s="66"/>
      <c r="D15" s="66"/>
      <c r="E15" s="18">
        <v>190</v>
      </c>
      <c r="F15" s="19">
        <f t="shared" ref="F15" si="0">E15*H15/$D$10</f>
        <v>190</v>
      </c>
      <c r="G15" s="11">
        <v>590</v>
      </c>
      <c r="H15" s="18">
        <v>8</v>
      </c>
      <c r="I15" s="11">
        <f t="shared" ref="I15" si="1">G15*H15</f>
        <v>4720</v>
      </c>
      <c r="J15" s="25"/>
      <c r="K15" s="22"/>
    </row>
    <row r="16" spans="1:243" ht="15" customHeight="1">
      <c r="A16" s="60" t="s">
        <v>48</v>
      </c>
      <c r="B16" s="61"/>
      <c r="C16" s="61"/>
      <c r="D16" s="61"/>
      <c r="E16" s="61"/>
      <c r="F16" s="61"/>
      <c r="G16" s="61"/>
      <c r="H16" s="61"/>
      <c r="I16" s="61"/>
      <c r="J16" s="61"/>
      <c r="K16" s="22"/>
    </row>
    <row r="17" spans="1:243" ht="25" customHeight="1">
      <c r="A17" s="58" t="s">
        <v>17</v>
      </c>
      <c r="B17" s="59"/>
      <c r="C17" s="59"/>
      <c r="D17" s="59"/>
      <c r="E17" s="42" t="s">
        <v>18</v>
      </c>
      <c r="F17" s="42" t="s">
        <v>19</v>
      </c>
      <c r="G17" s="42" t="s">
        <v>20</v>
      </c>
      <c r="H17" s="42" t="s">
        <v>21</v>
      </c>
      <c r="I17" s="42" t="s">
        <v>22</v>
      </c>
      <c r="J17" s="42"/>
      <c r="K17" s="22"/>
    </row>
    <row r="18" spans="1:243" s="2" customFormat="1" ht="22.9" customHeight="1">
      <c r="A18" s="92" t="s">
        <v>49</v>
      </c>
      <c r="B18" s="93"/>
      <c r="C18" s="93"/>
      <c r="D18" s="94"/>
      <c r="E18" s="95">
        <v>250</v>
      </c>
      <c r="F18" s="96">
        <f t="shared" ref="F18" si="2">E18*H18/$D$10</f>
        <v>250</v>
      </c>
      <c r="G18" s="96">
        <v>63</v>
      </c>
      <c r="H18" s="97">
        <v>8</v>
      </c>
      <c r="I18" s="96">
        <f t="shared" ref="I18" si="3">G18*H18</f>
        <v>504</v>
      </c>
      <c r="J18" s="96"/>
      <c r="K18" s="2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</row>
    <row r="19" spans="1:243" ht="15" customHeight="1">
      <c r="A19" s="60" t="s">
        <v>24</v>
      </c>
      <c r="B19" s="61"/>
      <c r="C19" s="61"/>
      <c r="D19" s="61"/>
      <c r="E19" s="61"/>
      <c r="F19" s="61"/>
      <c r="G19" s="61"/>
      <c r="H19" s="61"/>
      <c r="I19" s="61"/>
      <c r="J19" s="61"/>
      <c r="K19" s="22"/>
    </row>
    <row r="20" spans="1:243" s="2" customFormat="1" ht="25.15" customHeight="1">
      <c r="A20" s="58" t="s">
        <v>17</v>
      </c>
      <c r="B20" s="59"/>
      <c r="C20" s="59"/>
      <c r="D20" s="59"/>
      <c r="E20" s="9" t="s">
        <v>18</v>
      </c>
      <c r="F20" s="9" t="s">
        <v>19</v>
      </c>
      <c r="G20" s="9" t="s">
        <v>20</v>
      </c>
      <c r="H20" s="9" t="s">
        <v>21</v>
      </c>
      <c r="I20" s="9" t="s">
        <v>22</v>
      </c>
      <c r="J20" s="9"/>
      <c r="K20" s="22"/>
      <c r="L20" s="3"/>
      <c r="M20" s="70"/>
      <c r="N20" s="70"/>
      <c r="O20" s="70"/>
      <c r="P20" s="70"/>
      <c r="Q20" s="3"/>
      <c r="R20" s="3"/>
      <c r="S20" s="3"/>
      <c r="T20" s="3"/>
      <c r="U20" s="3"/>
      <c r="V20" s="28"/>
      <c r="W20" s="29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</row>
    <row r="21" spans="1:243" s="2" customFormat="1" ht="30" customHeight="1">
      <c r="A21" s="86" t="s">
        <v>45</v>
      </c>
      <c r="B21" s="87"/>
      <c r="C21" s="87"/>
      <c r="D21" s="87"/>
      <c r="E21" s="88">
        <v>315</v>
      </c>
      <c r="F21" s="25">
        <f t="shared" ref="F21" si="4">E21*H21/$D$10</f>
        <v>315</v>
      </c>
      <c r="G21" s="25">
        <v>920</v>
      </c>
      <c r="H21" s="20">
        <v>8</v>
      </c>
      <c r="I21" s="25">
        <f t="shared" ref="I21" si="5">H21*G21</f>
        <v>7360</v>
      </c>
      <c r="J21" s="25"/>
      <c r="K21" s="22"/>
      <c r="L21" s="3"/>
      <c r="M21" s="3"/>
      <c r="N21" s="3"/>
      <c r="O21" s="3"/>
      <c r="P21" s="3"/>
      <c r="Q21" s="30"/>
      <c r="R21" s="31"/>
      <c r="S21" s="32"/>
      <c r="T21" s="33"/>
      <c r="U21" s="34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</row>
    <row r="22" spans="1:243" ht="15" customHeight="1">
      <c r="A22" s="67" t="s">
        <v>25</v>
      </c>
      <c r="B22" s="68"/>
      <c r="C22" s="68"/>
      <c r="D22" s="68"/>
      <c r="E22" s="68"/>
      <c r="F22" s="68"/>
      <c r="G22" s="68"/>
      <c r="H22" s="68"/>
      <c r="I22" s="68"/>
      <c r="J22" s="69"/>
      <c r="K22" s="22"/>
    </row>
    <row r="23" spans="1:243" ht="25.15" customHeight="1">
      <c r="A23" s="58" t="s">
        <v>17</v>
      </c>
      <c r="B23" s="59"/>
      <c r="C23" s="59"/>
      <c r="D23" s="59"/>
      <c r="E23" s="9" t="s">
        <v>18</v>
      </c>
      <c r="F23" s="9" t="s">
        <v>19</v>
      </c>
      <c r="G23" s="9" t="s">
        <v>20</v>
      </c>
      <c r="H23" s="9" t="s">
        <v>21</v>
      </c>
      <c r="I23" s="9" t="s">
        <v>22</v>
      </c>
      <c r="J23" s="9"/>
      <c r="K23" s="22"/>
    </row>
    <row r="24" spans="1:243" ht="15" customHeight="1">
      <c r="A24" s="71" t="s">
        <v>26</v>
      </c>
      <c r="B24" s="72"/>
      <c r="C24" s="72"/>
      <c r="D24" s="72"/>
      <c r="E24" s="72"/>
      <c r="F24" s="72"/>
      <c r="G24" s="72"/>
      <c r="H24" s="72"/>
      <c r="I24" s="72"/>
      <c r="J24" s="73"/>
      <c r="K24" s="22"/>
    </row>
    <row r="25" spans="1:243" ht="15" customHeight="1">
      <c r="A25" s="74" t="s">
        <v>27</v>
      </c>
      <c r="B25" s="74"/>
      <c r="C25" s="74"/>
      <c r="D25" s="74"/>
      <c r="E25" s="26">
        <v>40</v>
      </c>
      <c r="F25" s="19">
        <f t="shared" ref="F25:F27" si="6">E25*H25/$D$10</f>
        <v>40</v>
      </c>
      <c r="G25" s="11">
        <v>110</v>
      </c>
      <c r="H25" s="26">
        <v>8</v>
      </c>
      <c r="I25" s="11">
        <f t="shared" ref="I25:I27" si="7">G25*H25</f>
        <v>880</v>
      </c>
      <c r="J25" s="25"/>
      <c r="K25" s="22"/>
    </row>
    <row r="26" spans="1:243" ht="15" customHeight="1">
      <c r="A26" s="74" t="s">
        <v>28</v>
      </c>
      <c r="B26" s="74"/>
      <c r="C26" s="74"/>
      <c r="D26" s="74"/>
      <c r="E26" s="26">
        <v>40</v>
      </c>
      <c r="F26" s="19">
        <f t="shared" si="6"/>
        <v>40</v>
      </c>
      <c r="G26" s="11">
        <v>110</v>
      </c>
      <c r="H26" s="26">
        <v>8</v>
      </c>
      <c r="I26" s="11">
        <f t="shared" si="7"/>
        <v>880</v>
      </c>
      <c r="J26" s="25"/>
      <c r="K26" s="22"/>
      <c r="L26" s="29"/>
    </row>
    <row r="27" spans="1:243" ht="15" customHeight="1">
      <c r="A27" s="74" t="s">
        <v>29</v>
      </c>
      <c r="B27" s="74"/>
      <c r="C27" s="74"/>
      <c r="D27" s="74"/>
      <c r="E27" s="26">
        <v>320</v>
      </c>
      <c r="F27" s="19">
        <f t="shared" si="6"/>
        <v>40</v>
      </c>
      <c r="G27" s="11">
        <v>220</v>
      </c>
      <c r="H27" s="26">
        <v>1</v>
      </c>
      <c r="I27" s="11">
        <f t="shared" si="7"/>
        <v>220</v>
      </c>
      <c r="J27" s="25"/>
      <c r="K27" s="22"/>
    </row>
    <row r="28" spans="1:243" ht="15" customHeight="1">
      <c r="A28" s="49" t="s">
        <v>30</v>
      </c>
      <c r="B28" s="50"/>
      <c r="C28" s="50"/>
      <c r="D28" s="50"/>
      <c r="E28" s="50"/>
      <c r="F28" s="50"/>
      <c r="G28" s="50"/>
      <c r="H28" s="50"/>
      <c r="I28" s="50"/>
      <c r="J28" s="36">
        <f>SUM(I13:I27)</f>
        <v>14564</v>
      </c>
    </row>
    <row r="29" spans="1:243" ht="25" customHeight="1">
      <c r="A29" s="51" t="s">
        <v>31</v>
      </c>
      <c r="B29" s="52"/>
      <c r="C29" s="52"/>
      <c r="D29" s="52"/>
      <c r="E29" s="52"/>
      <c r="F29" s="52"/>
      <c r="G29" s="52"/>
      <c r="H29" s="52"/>
      <c r="I29" s="52"/>
      <c r="J29" s="37">
        <f>SUM(F13:F27)</f>
        <v>875</v>
      </c>
    </row>
    <row r="30" spans="1:243" ht="15" customHeight="1">
      <c r="A30" s="60" t="s">
        <v>32</v>
      </c>
      <c r="B30" s="61"/>
      <c r="C30" s="61"/>
      <c r="D30" s="61"/>
      <c r="E30" s="61"/>
      <c r="F30" s="61"/>
      <c r="G30" s="61"/>
      <c r="H30" s="61"/>
      <c r="I30" s="61"/>
      <c r="J30" s="61"/>
    </row>
    <row r="31" spans="1:243" ht="25.15" customHeight="1">
      <c r="A31" s="58" t="s">
        <v>17</v>
      </c>
      <c r="B31" s="59"/>
      <c r="C31" s="59"/>
      <c r="D31" s="59"/>
      <c r="E31" s="9" t="s">
        <v>18</v>
      </c>
      <c r="F31" s="9" t="s">
        <v>19</v>
      </c>
      <c r="G31" s="9" t="s">
        <v>20</v>
      </c>
      <c r="H31" s="9" t="s">
        <v>21</v>
      </c>
      <c r="I31" s="9" t="s">
        <v>22</v>
      </c>
      <c r="J31" s="9"/>
    </row>
    <row r="32" spans="1:243" ht="15" customHeight="1">
      <c r="A32" s="62" t="s">
        <v>33</v>
      </c>
      <c r="B32" s="63"/>
      <c r="C32" s="63"/>
      <c r="D32" s="64"/>
      <c r="E32" s="20">
        <v>500</v>
      </c>
      <c r="F32" s="11"/>
      <c r="G32" s="20">
        <v>100</v>
      </c>
      <c r="H32" s="20"/>
      <c r="I32" s="11">
        <f t="shared" ref="I32:I35" si="8">G32*H32</f>
        <v>0</v>
      </c>
      <c r="J32" s="89" t="s">
        <v>47</v>
      </c>
    </row>
    <row r="33" spans="1:10" ht="15" customHeight="1">
      <c r="A33" s="62" t="s">
        <v>46</v>
      </c>
      <c r="B33" s="63"/>
      <c r="C33" s="63"/>
      <c r="D33" s="64"/>
      <c r="E33" s="20">
        <v>250</v>
      </c>
      <c r="F33" s="11"/>
      <c r="G33" s="20">
        <v>300</v>
      </c>
      <c r="H33" s="20"/>
      <c r="I33" s="11">
        <f t="shared" si="8"/>
        <v>0</v>
      </c>
      <c r="J33" s="90"/>
    </row>
    <row r="34" spans="1:10" ht="15" customHeight="1">
      <c r="A34" s="44" t="s">
        <v>34</v>
      </c>
      <c r="B34" s="45"/>
      <c r="C34" s="45"/>
      <c r="D34" s="46"/>
      <c r="E34" s="20"/>
      <c r="F34" s="11"/>
      <c r="G34" s="20">
        <v>35</v>
      </c>
      <c r="H34" s="20"/>
      <c r="I34" s="11">
        <f t="shared" si="8"/>
        <v>0</v>
      </c>
      <c r="J34" s="90"/>
    </row>
    <row r="35" spans="1:10" ht="15" customHeight="1">
      <c r="A35" s="44" t="s">
        <v>35</v>
      </c>
      <c r="B35" s="45"/>
      <c r="C35" s="45"/>
      <c r="D35" s="46"/>
      <c r="E35" s="20">
        <v>150</v>
      </c>
      <c r="F35" s="11"/>
      <c r="G35" s="20">
        <v>170</v>
      </c>
      <c r="H35" s="20"/>
      <c r="I35" s="11">
        <f t="shared" si="8"/>
        <v>0</v>
      </c>
      <c r="J35" s="90"/>
    </row>
    <row r="36" spans="1:10" ht="15" customHeight="1">
      <c r="A36" s="47" t="s">
        <v>36</v>
      </c>
      <c r="B36" s="48"/>
      <c r="C36" s="48"/>
      <c r="D36" s="48"/>
      <c r="E36" s="27" t="s">
        <v>37</v>
      </c>
      <c r="F36" s="11"/>
      <c r="G36" s="27">
        <v>100</v>
      </c>
      <c r="H36" s="21"/>
      <c r="I36" s="35">
        <f t="shared" ref="I36" si="9">G36*H36</f>
        <v>0</v>
      </c>
      <c r="J36" s="91"/>
    </row>
    <row r="37" spans="1:10" ht="15" customHeight="1">
      <c r="A37" s="49" t="s">
        <v>38</v>
      </c>
      <c r="B37" s="50"/>
      <c r="C37" s="50"/>
      <c r="D37" s="50"/>
      <c r="E37" s="50"/>
      <c r="F37" s="50"/>
      <c r="G37" s="50"/>
      <c r="H37" s="50"/>
      <c r="I37" s="50"/>
      <c r="J37" s="38">
        <f>SUM(I32:I36)</f>
        <v>0</v>
      </c>
    </row>
    <row r="38" spans="1:10" ht="15" customHeight="1">
      <c r="A38" s="49" t="s">
        <v>39</v>
      </c>
      <c r="B38" s="50"/>
      <c r="C38" s="50"/>
      <c r="D38" s="50"/>
      <c r="E38" s="50"/>
      <c r="F38" s="50"/>
      <c r="G38" s="50"/>
      <c r="H38" s="50"/>
      <c r="I38" s="50"/>
      <c r="J38" s="38">
        <f>SUM(J28,J37)</f>
        <v>14564</v>
      </c>
    </row>
    <row r="39" spans="1:10" ht="15" customHeight="1">
      <c r="A39" s="51" t="s">
        <v>40</v>
      </c>
      <c r="B39" s="52"/>
      <c r="C39" s="52"/>
      <c r="D39" s="52"/>
      <c r="E39" s="52"/>
      <c r="F39" s="52"/>
      <c r="G39" s="52"/>
      <c r="H39" s="52"/>
      <c r="I39" s="52"/>
      <c r="J39" s="39">
        <f>J38/D10</f>
        <v>1820.5</v>
      </c>
    </row>
    <row r="40" spans="1:10" ht="15" customHeight="1">
      <c r="A40" s="53" t="s">
        <v>41</v>
      </c>
      <c r="B40" s="54"/>
      <c r="C40" s="54"/>
      <c r="D40" s="54"/>
      <c r="E40" s="54"/>
      <c r="F40" s="54"/>
      <c r="G40" s="54"/>
      <c r="H40" s="54"/>
      <c r="I40" s="55"/>
      <c r="J40" s="38">
        <v>0</v>
      </c>
    </row>
    <row r="41" spans="1:10" ht="15" customHeight="1">
      <c r="A41" s="56" t="s">
        <v>42</v>
      </c>
      <c r="B41" s="57"/>
      <c r="C41" s="57"/>
      <c r="D41" s="57"/>
      <c r="E41" s="57"/>
      <c r="F41" s="57"/>
      <c r="G41" s="57"/>
      <c r="H41" s="57"/>
      <c r="I41" s="57"/>
      <c r="J41" s="40">
        <f>J40+J38</f>
        <v>14564</v>
      </c>
    </row>
    <row r="42" spans="1:10" ht="15" customHeight="1">
      <c r="A42" s="51" t="s">
        <v>43</v>
      </c>
      <c r="B42" s="52"/>
      <c r="C42" s="52"/>
      <c r="D42" s="52"/>
      <c r="E42" s="52"/>
      <c r="F42" s="52"/>
      <c r="G42" s="52"/>
      <c r="H42" s="52"/>
      <c r="I42" s="52"/>
      <c r="J42" s="41">
        <f>J41/$D$10</f>
        <v>1820.5</v>
      </c>
    </row>
  </sheetData>
  <mergeCells count="58">
    <mergeCell ref="A1:C1"/>
    <mergeCell ref="E1:J1"/>
    <mergeCell ref="A2:C2"/>
    <mergeCell ref="I2:J2"/>
    <mergeCell ref="A3:C3"/>
    <mergeCell ref="A5:J5"/>
    <mergeCell ref="F6:H6"/>
    <mergeCell ref="A8:C8"/>
    <mergeCell ref="D8:E8"/>
    <mergeCell ref="I8:J8"/>
    <mergeCell ref="I3:J4"/>
    <mergeCell ref="B9:C9"/>
    <mergeCell ref="G9:H9"/>
    <mergeCell ref="I9:J9"/>
    <mergeCell ref="B10:C10"/>
    <mergeCell ref="G10:H10"/>
    <mergeCell ref="I10:J10"/>
    <mergeCell ref="A11:D11"/>
    <mergeCell ref="E11:H11"/>
    <mergeCell ref="I11:J11"/>
    <mergeCell ref="A12:D12"/>
    <mergeCell ref="E12:H12"/>
    <mergeCell ref="I12:J12"/>
    <mergeCell ref="A13:J13"/>
    <mergeCell ref="A14:D14"/>
    <mergeCell ref="A15:D15"/>
    <mergeCell ref="A19:J19"/>
    <mergeCell ref="A20:D20"/>
    <mergeCell ref="A21:D21"/>
    <mergeCell ref="A16:J16"/>
    <mergeCell ref="A17:D17"/>
    <mergeCell ref="A18:D18"/>
    <mergeCell ref="M20:P20"/>
    <mergeCell ref="A22:J22"/>
    <mergeCell ref="A23:D23"/>
    <mergeCell ref="J32:J36"/>
    <mergeCell ref="A24:J24"/>
    <mergeCell ref="A25:D25"/>
    <mergeCell ref="A26:D26"/>
    <mergeCell ref="A27:D27"/>
    <mergeCell ref="A28:I28"/>
    <mergeCell ref="A35:D35"/>
    <mergeCell ref="A36:D36"/>
    <mergeCell ref="A37:I37"/>
    <mergeCell ref="A38:I38"/>
    <mergeCell ref="A39:I39"/>
    <mergeCell ref="A40:I40"/>
    <mergeCell ref="A41:I41"/>
    <mergeCell ref="A42:I42"/>
    <mergeCell ref="D6:E7"/>
    <mergeCell ref="I6:J7"/>
    <mergeCell ref="A6:C7"/>
    <mergeCell ref="A29:I29"/>
    <mergeCell ref="A30:J30"/>
    <mergeCell ref="A31:D31"/>
    <mergeCell ref="A32:D32"/>
    <mergeCell ref="A33:D33"/>
    <mergeCell ref="A34:D34"/>
  </mergeCells>
  <pageMargins left="0.25" right="0.25" top="0.75" bottom="0.75" header="0.3" footer="0.3"/>
  <pageSetup paperSize="9" orientation="portrait" r:id="rId1"/>
  <headerFooter>
    <oddFooter>&amp;L&amp;"Helvetica,Regular"&amp;11&amp;K000000	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Фуртиков Илья</cp:lastModifiedBy>
  <cp:lastPrinted>2026-04-29T06:41:37Z</cp:lastPrinted>
  <dcterms:created xsi:type="dcterms:W3CDTF">2015-08-21T15:05:00Z</dcterms:created>
  <dcterms:modified xsi:type="dcterms:W3CDTF">2026-04-29T06:42:15Z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3AA58AD02BFC4A52B482ED37DC4B3E0D_12</vt:lpwstr>
  </property>
  <property fmtid="{D5CDD505-2E9C-101B-9397-08002B2CF9AE}" pid="3" name="KSOProductBuildVer">
    <vt:lpwstr>1049-12.2.0.23131</vt:lpwstr>
  </property>
</Properties>
</file>