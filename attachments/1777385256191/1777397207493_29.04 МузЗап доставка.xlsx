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3 Неутвержденные\04 Апрель\29.04 Муз. зап. доставка\"/>
    </mc:Choice>
  </mc:AlternateContent>
  <xr:revisionPtr revIDLastSave="0" documentId="13_ncr:1_{BBB98EFD-416B-4A42-8600-BFA0D6E51B4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" l="1"/>
  <c r="J26" i="1" s="1"/>
  <c r="J24" i="1"/>
  <c r="I22" i="1"/>
  <c r="F22" i="1"/>
  <c r="I21" i="1" l="1"/>
  <c r="F21" i="1"/>
  <c r="I18" i="1" l="1"/>
  <c r="I19" i="1"/>
  <c r="F18" i="1"/>
  <c r="F19" i="1"/>
  <c r="I17" i="1"/>
  <c r="F17" i="1"/>
  <c r="I16" i="1"/>
  <c r="F16" i="1"/>
  <c r="I15" i="1"/>
  <c r="F15" i="1"/>
  <c r="J27" i="1" l="1"/>
</calcChain>
</file>

<file path=xl/sharedStrings.xml><?xml version="1.0" encoding="utf-8"?>
<sst xmlns="http://schemas.openxmlformats.org/spreadsheetml/2006/main" count="40" uniqueCount="40">
  <si>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</si>
  <si>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</si>
  <si>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</si>
  <si>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</si>
  <si>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</si>
  <si>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</si>
  <si>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</si>
  <si>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</si>
  <si>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</si>
  <si>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</si>
  <si>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</si>
  <si>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</si>
  <si>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</si>
  <si>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</si>
  <si>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</si>
  <si>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</si>
  <si>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</si>
  <si>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</si>
  <si>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</si>
  <si>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</si>
  <si>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</si>
  <si>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</si>
  <si>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</si>
  <si>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Фуршетные закуски</t>
  </si>
  <si>
    <t>Рулетики из семги с сыром Филадельфия</t>
  </si>
  <si>
    <t>Рафаэлло /Нежный паштет из цыпленка, огурцов и сыра "Рикотта" и "Грана Падано"/</t>
  </si>
  <si>
    <t>Итого кухня</t>
  </si>
  <si>
    <t>Итого грамм на персону без напитков</t>
  </si>
  <si>
    <t>ИТОГО ПО ВСЕМ РАЗДЕЛАМ</t>
  </si>
  <si>
    <t>Итого по всем разделам на персону</t>
  </si>
  <si>
    <t>Закуска из свиной корейки и тартаром из груздей</t>
  </si>
  <si>
    <t>Эклер с ростбифом и вяленными томатами</t>
  </si>
  <si>
    <t>Профитроли с лососем и творожным сыром</t>
  </si>
  <si>
    <t>Кейтеринг- меню 2026</t>
  </si>
  <si>
    <t>Александр</t>
  </si>
  <si>
    <t>Холодные закуски</t>
  </si>
  <si>
    <t>Сырное плато  монфлер, брилья, грюйер, раклет с вареньем из брусники и фундуком</t>
  </si>
  <si>
    <t>музей заповедник</t>
  </si>
  <si>
    <t>Доставка,упаковка</t>
  </si>
  <si>
    <t>Ассорти мясное «Стандарт»: ростбиф, свинина
в луковых перьях, язык отварной, эклер с паштетом из печени (8 шт.), сливочный хрен, сыр: Неро, Грюер.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</si>
</sst>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2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name val="Calibri"/>
      <family val="2"/>
      <charset val="204"/>
    </font>
    <font>
      <b/>
      <sz val="24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9" fillId="0" borderId="0" applyNumberFormat="0" applyFill="0" applyBorder="0" applyProtection="0">
      <alignment vertical="top" wrapText="1"/>
    </xf>
  </cellStyleXfs>
  <cellXfs count="68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top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11" fillId="0" borderId="0" xfId="0" applyNumberFormat="1" applyFont="1" applyBorder="1" applyAlignment="1">
      <alignment horizontal="right" vertical="center" wrapText="1"/>
    </xf>
    <xf numFmtId="1" fontId="11" fillId="0" borderId="5" xfId="0" applyNumberFormat="1" applyFont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27"/>
  <sheetViews>
    <sheetView showGridLines="0" tabSelected="1" workbookViewId="0">
      <selection activeCell="J24" sqref="J24"/>
    </sheetView>
  </sheetViews>
  <sheetFormatPr defaultColWidth="6.61328125" defaultRowHeight="15" customHeight="1"/>
  <cols>
    <col min="1" max="1" width="10.61328125" style="3" customWidth="1"/>
    <col min="2" max="2" width="5.07421875" style="3" customWidth="1"/>
    <col min="3" max="3" width="6.07421875" style="3" customWidth="1"/>
    <col min="4" max="4" width="4.84375" style="3" customWidth="1"/>
    <col min="5" max="5" width="5.3828125" style="3" customWidth="1"/>
    <col min="6" max="6" width="5.23046875" style="3" customWidth="1"/>
    <col min="7" max="7" width="4.84375" style="3" customWidth="1"/>
    <col min="8" max="8" width="5.921875" style="3" customWidth="1"/>
    <col min="9" max="9" width="7.07421875" style="3" customWidth="1"/>
    <col min="10" max="10" width="13.4609375" style="3" customWidth="1"/>
    <col min="11" max="11" width="8.4609375" style="3" customWidth="1"/>
    <col min="12" max="243" width="6.61328125" style="3" customWidth="1"/>
    <col min="244" max="16384" width="6.61328125" style="4"/>
  </cols>
  <sheetData>
    <row r="1" spans="1:243" ht="12.75" customHeight="1">
      <c r="A1" s="52"/>
      <c r="B1" s="52"/>
      <c r="C1" s="52"/>
      <c r="D1" s="5"/>
      <c r="E1" s="53"/>
      <c r="F1" s="53"/>
      <c r="G1" s="54"/>
      <c r="H1" s="54"/>
      <c r="I1" s="54"/>
      <c r="J1" s="54"/>
      <c r="K1" s="20"/>
    </row>
    <row r="2" spans="1:243" ht="13.5" customHeight="1">
      <c r="A2" s="52"/>
      <c r="B2" s="52"/>
      <c r="C2" s="52"/>
      <c r="D2" s="5"/>
      <c r="E2" s="5"/>
      <c r="F2" s="5"/>
      <c r="G2" s="6"/>
      <c r="H2" s="5"/>
      <c r="I2" s="53"/>
      <c r="J2" s="54"/>
      <c r="K2" s="20"/>
    </row>
    <row r="3" spans="1:243" ht="15" customHeight="1">
      <c r="A3" s="52"/>
      <c r="B3" s="52"/>
      <c r="C3" s="52"/>
      <c r="D3" s="5"/>
      <c r="E3" s="7"/>
      <c r="F3" s="7"/>
      <c r="G3" s="8"/>
      <c r="H3" s="8"/>
      <c r="I3" s="55"/>
      <c r="J3" s="55"/>
      <c r="K3" s="20"/>
    </row>
    <row r="4" spans="1:243" ht="29.25" customHeight="1">
      <c r="A4" s="5"/>
      <c r="B4" s="5"/>
      <c r="C4" s="5"/>
      <c r="D4" s="5"/>
      <c r="E4" s="5"/>
      <c r="F4" s="5"/>
      <c r="G4" s="6"/>
      <c r="H4" s="5"/>
      <c r="I4" s="56"/>
      <c r="J4" s="56"/>
      <c r="K4" s="20"/>
    </row>
    <row r="5" spans="1:243" ht="15" customHeight="1">
      <c r="A5" s="60" t="s">
        <v>33</v>
      </c>
      <c r="B5" s="61"/>
      <c r="C5" s="61"/>
      <c r="D5" s="61"/>
      <c r="E5" s="61"/>
      <c r="F5" s="61"/>
      <c r="G5" s="61"/>
      <c r="H5" s="61"/>
      <c r="I5" s="61"/>
      <c r="J5" s="61"/>
      <c r="K5" s="20"/>
    </row>
    <row r="6" spans="1:243" ht="15" customHeight="1">
      <c r="A6" s="38" t="s">
        <v>0</v>
      </c>
      <c r="B6" s="39"/>
      <c r="C6" s="39"/>
      <c r="D6" s="38" t="s">
        <v>1</v>
      </c>
      <c r="E6" s="39"/>
      <c r="F6" s="62" t="s">
        <v>2</v>
      </c>
      <c r="G6" s="63"/>
      <c r="H6" s="64"/>
      <c r="I6" s="38" t="s">
        <v>3</v>
      </c>
      <c r="J6" s="39"/>
      <c r="K6" s="20"/>
    </row>
    <row r="7" spans="1:243" s="1" customFormat="1" ht="24.9" customHeight="1">
      <c r="A7" s="39"/>
      <c r="B7" s="39"/>
      <c r="C7" s="39"/>
      <c r="D7" s="39"/>
      <c r="E7" s="39"/>
      <c r="F7" s="10" t="s">
        <v>4</v>
      </c>
      <c r="G7" s="9" t="s">
        <v>5</v>
      </c>
      <c r="H7" s="9" t="s">
        <v>6</v>
      </c>
      <c r="I7" s="39"/>
      <c r="J7" s="39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</row>
    <row r="8" spans="1:243" ht="15" customHeight="1">
      <c r="A8" s="65" t="s">
        <v>34</v>
      </c>
      <c r="B8" s="65"/>
      <c r="C8" s="65"/>
      <c r="D8" s="65"/>
      <c r="E8" s="65"/>
      <c r="F8" s="12"/>
      <c r="G8" s="13">
        <v>0.625</v>
      </c>
      <c r="H8" s="13"/>
      <c r="I8" s="65" t="s">
        <v>37</v>
      </c>
      <c r="J8" s="65"/>
      <c r="K8" s="20"/>
    </row>
    <row r="9" spans="1:243" ht="15" customHeight="1">
      <c r="A9" s="9" t="s">
        <v>7</v>
      </c>
      <c r="B9" s="38" t="s">
        <v>8</v>
      </c>
      <c r="C9" s="39"/>
      <c r="D9" s="9" t="s">
        <v>9</v>
      </c>
      <c r="E9" s="9" t="s">
        <v>10</v>
      </c>
      <c r="F9" s="14" t="s">
        <v>11</v>
      </c>
      <c r="G9" s="38" t="s">
        <v>12</v>
      </c>
      <c r="H9" s="39"/>
      <c r="I9" s="38" t="s">
        <v>13</v>
      </c>
      <c r="J9" s="39"/>
      <c r="K9" s="20"/>
    </row>
    <row r="10" spans="1:243" ht="15" customHeight="1">
      <c r="A10" s="15">
        <v>46141</v>
      </c>
      <c r="B10" s="65"/>
      <c r="C10" s="65"/>
      <c r="D10" s="16">
        <v>6</v>
      </c>
      <c r="E10" s="17"/>
      <c r="F10" s="17"/>
      <c r="G10" s="65"/>
      <c r="H10" s="65"/>
      <c r="I10" s="65"/>
      <c r="J10" s="65"/>
      <c r="K10" s="20"/>
    </row>
    <row r="11" spans="1:243" ht="15" customHeight="1">
      <c r="A11" s="47" t="s">
        <v>14</v>
      </c>
      <c r="B11" s="48"/>
      <c r="C11" s="48"/>
      <c r="D11" s="48"/>
      <c r="E11" s="38" t="s">
        <v>15</v>
      </c>
      <c r="F11" s="38"/>
      <c r="G11" s="39"/>
      <c r="H11" s="39"/>
      <c r="I11" s="38" t="s">
        <v>16</v>
      </c>
      <c r="J11" s="39"/>
      <c r="K11" s="20"/>
    </row>
    <row r="12" spans="1:243" ht="15" customHeight="1">
      <c r="A12" s="66"/>
      <c r="B12" s="66"/>
      <c r="C12" s="66"/>
      <c r="D12" s="66"/>
      <c r="E12" s="67"/>
      <c r="F12" s="67"/>
      <c r="G12" s="65"/>
      <c r="H12" s="65"/>
      <c r="I12" s="66"/>
      <c r="J12" s="66"/>
      <c r="K12" s="20"/>
    </row>
    <row r="13" spans="1:243" ht="15" customHeight="1">
      <c r="A13" s="44" t="s">
        <v>23</v>
      </c>
      <c r="B13" s="45"/>
      <c r="C13" s="45"/>
      <c r="D13" s="45"/>
      <c r="E13" s="45"/>
      <c r="F13" s="45"/>
      <c r="G13" s="45"/>
      <c r="H13" s="45"/>
      <c r="I13" s="45"/>
      <c r="J13" s="46"/>
      <c r="K13" s="20"/>
    </row>
    <row r="14" spans="1:243" ht="24.9" customHeight="1">
      <c r="A14" s="49" t="s">
        <v>17</v>
      </c>
      <c r="B14" s="50"/>
      <c r="C14" s="50"/>
      <c r="D14" s="51"/>
      <c r="E14" s="9" t="s">
        <v>18</v>
      </c>
      <c r="F14" s="9" t="s">
        <v>19</v>
      </c>
      <c r="G14" s="9" t="s">
        <v>20</v>
      </c>
      <c r="H14" s="9" t="s">
        <v>21</v>
      </c>
      <c r="I14" s="9" t="s">
        <v>22</v>
      </c>
      <c r="J14" s="9"/>
      <c r="K14" s="20"/>
    </row>
    <row r="15" spans="1:243" ht="25.05" customHeight="1">
      <c r="A15" s="42" t="s">
        <v>24</v>
      </c>
      <c r="B15" s="43"/>
      <c r="C15" s="43"/>
      <c r="D15" s="43"/>
      <c r="E15" s="19">
        <v>20</v>
      </c>
      <c r="F15" s="18">
        <f t="shared" ref="F15:F16" si="0">E15*H15/$D$10</f>
        <v>20</v>
      </c>
      <c r="G15" s="11">
        <v>230</v>
      </c>
      <c r="H15" s="19">
        <v>6</v>
      </c>
      <c r="I15" s="11">
        <f t="shared" ref="I15:I16" si="1">H15*G15</f>
        <v>1380</v>
      </c>
      <c r="J15" s="23"/>
      <c r="K15" s="20"/>
    </row>
    <row r="16" spans="1:243" ht="25.05" customHeight="1">
      <c r="A16" s="42" t="s">
        <v>25</v>
      </c>
      <c r="B16" s="43"/>
      <c r="C16" s="43"/>
      <c r="D16" s="43"/>
      <c r="E16" s="19">
        <v>35</v>
      </c>
      <c r="F16" s="18">
        <f t="shared" si="0"/>
        <v>35</v>
      </c>
      <c r="G16" s="11">
        <v>150</v>
      </c>
      <c r="H16" s="19">
        <v>6</v>
      </c>
      <c r="I16" s="11">
        <f t="shared" si="1"/>
        <v>900</v>
      </c>
      <c r="J16" s="23"/>
      <c r="K16" s="20"/>
    </row>
    <row r="17" spans="1:243" ht="25.05" customHeight="1">
      <c r="A17" s="31" t="s">
        <v>30</v>
      </c>
      <c r="B17" s="32"/>
      <c r="C17" s="32"/>
      <c r="D17" s="33"/>
      <c r="E17" s="19">
        <v>25</v>
      </c>
      <c r="F17" s="28">
        <f t="shared" ref="F17:F19" si="2">E17*H17/$D$10</f>
        <v>25</v>
      </c>
      <c r="G17" s="18">
        <v>80</v>
      </c>
      <c r="H17" s="19">
        <v>6</v>
      </c>
      <c r="I17" s="18">
        <f t="shared" ref="I17:I19" si="3">H17*G17</f>
        <v>480</v>
      </c>
      <c r="J17" s="18"/>
      <c r="K17" s="20"/>
    </row>
    <row r="18" spans="1:243" s="2" customFormat="1" ht="25.05" customHeight="1">
      <c r="A18" s="31" t="s">
        <v>31</v>
      </c>
      <c r="B18" s="32"/>
      <c r="C18" s="32"/>
      <c r="D18" s="33"/>
      <c r="E18" s="19">
        <v>25</v>
      </c>
      <c r="F18" s="18">
        <f>E18*H18/$D$10</f>
        <v>25</v>
      </c>
      <c r="G18" s="18">
        <v>100</v>
      </c>
      <c r="H18" s="19">
        <v>6</v>
      </c>
      <c r="I18" s="18">
        <f t="shared" si="3"/>
        <v>600</v>
      </c>
      <c r="J18" s="18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</row>
    <row r="19" spans="1:243" s="2" customFormat="1" ht="25.05" customHeight="1">
      <c r="A19" s="31" t="s">
        <v>32</v>
      </c>
      <c r="B19" s="32"/>
      <c r="C19" s="32"/>
      <c r="D19" s="33"/>
      <c r="E19" s="19">
        <v>24</v>
      </c>
      <c r="F19" s="18">
        <f t="shared" si="2"/>
        <v>24</v>
      </c>
      <c r="G19" s="18">
        <v>170</v>
      </c>
      <c r="H19" s="19">
        <v>6</v>
      </c>
      <c r="I19" s="18">
        <f t="shared" si="3"/>
        <v>1020</v>
      </c>
      <c r="J19" s="18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</row>
    <row r="20" spans="1:243" ht="15" customHeight="1">
      <c r="A20" s="44" t="s">
        <v>35</v>
      </c>
      <c r="B20" s="45"/>
      <c r="C20" s="45"/>
      <c r="D20" s="45"/>
      <c r="E20" s="45"/>
      <c r="F20" s="45"/>
      <c r="G20" s="45"/>
      <c r="H20" s="45"/>
      <c r="I20" s="45"/>
      <c r="J20" s="46"/>
      <c r="K20" s="20"/>
    </row>
    <row r="21" spans="1:243" s="2" customFormat="1" ht="34.799999999999997" customHeight="1">
      <c r="A21" s="31" t="s">
        <v>36</v>
      </c>
      <c r="B21" s="32"/>
      <c r="C21" s="32"/>
      <c r="D21" s="33"/>
      <c r="E21" s="19">
        <v>280</v>
      </c>
      <c r="F21" s="18">
        <f t="shared" ref="F21:F22" si="4">E21*H21/$D$10</f>
        <v>93.333333333333329</v>
      </c>
      <c r="G21" s="18">
        <v>1200</v>
      </c>
      <c r="H21" s="19">
        <v>2</v>
      </c>
      <c r="I21" s="18">
        <f t="shared" ref="I21:I22" si="5">H21*G21</f>
        <v>2400</v>
      </c>
      <c r="J21" s="18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</row>
    <row r="22" spans="1:243" s="2" customFormat="1" ht="69.599999999999994" customHeight="1">
      <c r="A22" s="31" t="s">
        <v>39</v>
      </c>
      <c r="B22" s="32"/>
      <c r="C22" s="32"/>
      <c r="D22" s="33"/>
      <c r="E22" s="19">
        <v>520</v>
      </c>
      <c r="F22" s="18">
        <f t="shared" si="4"/>
        <v>173.33333333333334</v>
      </c>
      <c r="G22" s="18">
        <v>2700</v>
      </c>
      <c r="H22" s="19">
        <v>2</v>
      </c>
      <c r="I22" s="18">
        <f t="shared" si="5"/>
        <v>5400</v>
      </c>
      <c r="J22" s="18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</row>
    <row r="23" spans="1:243" ht="15" customHeight="1">
      <c r="A23" s="40" t="s">
        <v>26</v>
      </c>
      <c r="B23" s="41"/>
      <c r="C23" s="41"/>
      <c r="D23" s="41"/>
      <c r="E23" s="41"/>
      <c r="F23" s="41"/>
      <c r="G23" s="41"/>
      <c r="H23" s="41"/>
      <c r="I23" s="41"/>
      <c r="J23" s="24">
        <f>SUM(I13:I22)</f>
        <v>12180</v>
      </c>
    </row>
    <row r="24" spans="1:243" ht="24.9" customHeight="1">
      <c r="A24" s="36" t="s">
        <v>27</v>
      </c>
      <c r="B24" s="37"/>
      <c r="C24" s="37"/>
      <c r="D24" s="37"/>
      <c r="E24" s="37"/>
      <c r="F24" s="37"/>
      <c r="G24" s="37"/>
      <c r="H24" s="37"/>
      <c r="I24" s="37"/>
      <c r="J24" s="25">
        <f>SUM(F13:F22)</f>
        <v>395.66666666666663</v>
      </c>
    </row>
    <row r="25" spans="1:243" s="30" customFormat="1" ht="15" customHeight="1">
      <c r="A25" s="57" t="s">
        <v>38</v>
      </c>
      <c r="B25" s="58"/>
      <c r="C25" s="58"/>
      <c r="D25" s="58"/>
      <c r="E25" s="58"/>
      <c r="F25" s="58"/>
      <c r="G25" s="58"/>
      <c r="H25" s="58"/>
      <c r="I25" s="59"/>
      <c r="J25" s="29">
        <v>1650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</row>
    <row r="26" spans="1:243" ht="15" customHeight="1">
      <c r="A26" s="34" t="s">
        <v>28</v>
      </c>
      <c r="B26" s="35"/>
      <c r="C26" s="35"/>
      <c r="D26" s="35"/>
      <c r="E26" s="35"/>
      <c r="F26" s="35"/>
      <c r="G26" s="35"/>
      <c r="H26" s="35"/>
      <c r="I26" s="35"/>
      <c r="J26" s="26">
        <f>J23+J25</f>
        <v>13830</v>
      </c>
    </row>
    <row r="27" spans="1:243" ht="15" customHeight="1">
      <c r="A27" s="36" t="s">
        <v>29</v>
      </c>
      <c r="B27" s="37"/>
      <c r="C27" s="37"/>
      <c r="D27" s="37"/>
      <c r="E27" s="37"/>
      <c r="F27" s="37"/>
      <c r="G27" s="37"/>
      <c r="H27" s="37"/>
      <c r="I27" s="37"/>
      <c r="J27" s="27">
        <f>J26/$D$10</f>
        <v>2305</v>
      </c>
    </row>
  </sheetData>
  <mergeCells count="41">
    <mergeCell ref="A25:I25"/>
    <mergeCell ref="A5:J5"/>
    <mergeCell ref="F6:H6"/>
    <mergeCell ref="A8:C8"/>
    <mergeCell ref="D8:E8"/>
    <mergeCell ref="I8:J8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22:D22"/>
    <mergeCell ref="E11:H11"/>
    <mergeCell ref="I11:J11"/>
    <mergeCell ref="A14:D14"/>
    <mergeCell ref="A15:D15"/>
    <mergeCell ref="A1:C1"/>
    <mergeCell ref="E1:J1"/>
    <mergeCell ref="A2:C2"/>
    <mergeCell ref="I2:J2"/>
    <mergeCell ref="A3:C3"/>
    <mergeCell ref="I3:J4"/>
    <mergeCell ref="A21:D21"/>
    <mergeCell ref="A26:I26"/>
    <mergeCell ref="A27:I27"/>
    <mergeCell ref="D6:E7"/>
    <mergeCell ref="I6:J7"/>
    <mergeCell ref="A6:C7"/>
    <mergeCell ref="A17:D17"/>
    <mergeCell ref="A24:I24"/>
    <mergeCell ref="A23:I23"/>
    <mergeCell ref="A16:D16"/>
    <mergeCell ref="A13:J13"/>
    <mergeCell ref="A18:D18"/>
    <mergeCell ref="A19:D19"/>
    <mergeCell ref="A20:J20"/>
    <mergeCell ref="A11:D11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2026-04-28T13:30:16Z</cp:lastPrinted>
  <dcterms:created xsi:type="dcterms:W3CDTF">2015-08-21T15:05:00Z</dcterms:created>
  <dcterms:modified xsi:type="dcterms:W3CDTF">2026-04-28T13:49:57Z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