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3 Неутвержденные\05 Май\09.05 ПЯО (праздник 9мая)\"/>
    </mc:Choice>
  </mc:AlternateContent>
  <xr:revisionPtr revIDLastSave="0" documentId="13_ncr:1_{E1316DD3-2170-4236-94FF-595B6C9E7C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" i="1" l="1"/>
  <c r="F24" i="1"/>
  <c r="I23" i="1"/>
  <c r="F23" i="1"/>
  <c r="I18" i="1"/>
  <c r="F18" i="1"/>
  <c r="I19" i="1"/>
  <c r="F19" i="1"/>
  <c r="I15" i="1"/>
  <c r="F15" i="1"/>
  <c r="I20" i="1" l="1"/>
  <c r="F20" i="1"/>
  <c r="I43" i="1"/>
  <c r="I42" i="1"/>
  <c r="I41" i="1"/>
  <c r="I40" i="1"/>
  <c r="I35" i="1"/>
  <c r="F35" i="1"/>
  <c r="I34" i="1"/>
  <c r="F34" i="1"/>
  <c r="I33" i="1"/>
  <c r="F33" i="1"/>
  <c r="I30" i="1"/>
  <c r="F30" i="1"/>
  <c r="I29" i="1"/>
  <c r="F29" i="1"/>
  <c r="I28" i="1"/>
  <c r="F28" i="1"/>
  <c r="I17" i="1"/>
  <c r="F17" i="1"/>
  <c r="I16" i="1"/>
  <c r="F16" i="1"/>
  <c r="J37" i="1" l="1"/>
  <c r="J36" i="1"/>
  <c r="J44" i="1"/>
  <c r="J45" i="1" l="1"/>
  <c r="J46" i="1" s="1"/>
  <c r="J48" i="1" l="1"/>
  <c r="J49" i="1" s="1"/>
</calcChain>
</file>

<file path=xl/sharedStrings.xml><?xml version="1.0" encoding="utf-8"?>
<sst xmlns="http://schemas.openxmlformats.org/spreadsheetml/2006/main" count="94" uniqueCount="62">
  <si>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</si>
  <si>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</si>
  <si>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</si>
  <si>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</si>
  <si>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</si>
  <si>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</si>
  <si>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</si>
  <si>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</si>
  <si>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</si>
  <si>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</si>
  <si>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</si>
  <si>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</si>
  <si>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</si>
  <si>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</si>
  <si>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</si>
  <si>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</si>
  <si>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</si>
  <si>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Наименование</t>
  </si>
  <si>
    <t>Выход /гр</t>
  </si>
  <si>
    <t>Грамм /чел</t>
  </si>
  <si>
    <t>Цена</t>
  </si>
  <si>
    <t>Кол-во</t>
  </si>
  <si>
    <t>Сумма</t>
  </si>
  <si>
    <t>Канапе с ростбифом, свежим огурцом и муссом из тунца</t>
  </si>
  <si>
    <t>Канапе с сыром и виноградом на шпажке</t>
  </si>
  <si>
    <t xml:space="preserve">Блин розовый с вялеными томатами и сливочным сыром </t>
  </si>
  <si>
    <t>Канапе из куриного рулета с печеным перцем и сыром</t>
  </si>
  <si>
    <t>Фуршетные закуски</t>
  </si>
  <si>
    <t>Горячие блюда</t>
  </si>
  <si>
    <t xml:space="preserve">Блин с яйцом </t>
  </si>
  <si>
    <t>Блинчики с мясом</t>
  </si>
  <si>
    <t>Выпечка, бутерброды</t>
  </si>
  <si>
    <t>Мини-пирожки</t>
  </si>
  <si>
    <t>Пирожок с мясом</t>
  </si>
  <si>
    <t>Пирожок с копченым сомом и щукой</t>
  </si>
  <si>
    <t>Пирожок с капустой и яйцом</t>
  </si>
  <si>
    <t>Десерт</t>
  </si>
  <si>
    <t>Мини-медовик</t>
  </si>
  <si>
    <t>Палочки бисквитные к шоколадному фонтану</t>
  </si>
  <si>
    <t>Мини-Красный бархат</t>
  </si>
  <si>
    <t>Мини-брауни</t>
  </si>
  <si>
    <t>Итого кухня</t>
  </si>
  <si>
    <t>Итого грамм на персону без напитков</t>
  </si>
  <si>
    <t xml:space="preserve">Безалкогольные напитки </t>
  </si>
  <si>
    <t>Вода "Хрустальная"  газ/ б/г</t>
  </si>
  <si>
    <t>Чай пакетированный</t>
  </si>
  <si>
    <t>Сливки порционные</t>
  </si>
  <si>
    <t>Кофе "Эспрессо", "Американо"</t>
  </si>
  <si>
    <t>30/120</t>
  </si>
  <si>
    <t xml:space="preserve">Итого бар </t>
  </si>
  <si>
    <t>Итого кухня + бар</t>
  </si>
  <si>
    <t>Итого кухня + бар на персону</t>
  </si>
  <si>
    <t>Аренда, услуги, логистика</t>
  </si>
  <si>
    <t>ИТОГО ПО ВСЕМ РАЗДЕЛАМ</t>
  </si>
  <si>
    <t>Итого по всем разделам на персону</t>
  </si>
  <si>
    <t>Эклер с муссом из ветчины и сливочным сыром</t>
  </si>
  <si>
    <t>Кейтеринг- меню 2026</t>
  </si>
  <si>
    <t>Эклер с муссом из сыра и брусничной глазури</t>
  </si>
  <si>
    <t>кб</t>
  </si>
  <si>
    <t>ПЯО</t>
  </si>
  <si>
    <t>По Факту</t>
  </si>
  <si>
    <t>Александр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</si>
</sst>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12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5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u/>
      <sz val="10"/>
      <color indexed="11"/>
      <name val="Calibri"/>
      <family val="2"/>
      <charset val="204"/>
    </font>
    <font>
      <sz val="10"/>
      <name val="Calibri"/>
      <family val="2"/>
      <charset val="204"/>
    </font>
    <font>
      <sz val="12"/>
      <color indexed="8"/>
      <name val="Verdana"/>
      <family val="2"/>
      <charset val="204"/>
    </font>
    <font>
      <b/>
      <sz val="24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indexed="1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>
      <alignment vertical="top" wrapText="1"/>
    </xf>
  </cellStyleXfs>
  <cellXfs count="95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 applyAlignment="1">
      <alignment vertical="center" wrapText="1"/>
    </xf>
    <xf numFmtId="0" fontId="2" fillId="0" borderId="0" xfId="0" applyNumberFormat="1" applyFont="1" applyBorder="1" applyAlignment="1"/>
    <xf numFmtId="1" fontId="2" fillId="4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1" fillId="2" borderId="0" xfId="0" applyFont="1" applyFill="1">
      <alignment vertical="top" wrapText="1"/>
    </xf>
    <xf numFmtId="0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2" fillId="0" borderId="4" xfId="0" applyNumberFormat="1" applyFont="1" applyFill="1" applyBorder="1" applyAlignment="1">
      <alignment horizontal="left" vertical="center" shrinkToFi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1" fontId="2" fillId="0" borderId="5" xfId="0" applyNumberFormat="1" applyFont="1" applyFill="1" applyBorder="1" applyAlignment="1">
      <alignment horizontal="center" vertical="center" wrapText="1"/>
    </xf>
    <xf numFmtId="1" fontId="2" fillId="0" borderId="7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0" fontId="2" fillId="4" borderId="3" xfId="0" applyNumberFormat="1" applyFont="1" applyFill="1" applyBorder="1" applyAlignment="1">
      <alignment horizontal="left" vertical="center" wrapText="1"/>
    </xf>
    <xf numFmtId="0" fontId="2" fillId="4" borderId="4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11" fillId="0" borderId="0" xfId="0" applyNumberFormat="1" applyFont="1" applyBorder="1" applyAlignment="1">
      <alignment horizontal="right" vertical="center" wrapText="1"/>
    </xf>
    <xf numFmtId="1" fontId="11" fillId="0" borderId="6" xfId="0" applyNumberFormat="1" applyFont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8</xdr:col>
      <xdr:colOff>209550</xdr:colOff>
      <xdr:row>4</xdr:row>
      <xdr:rowOff>84283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C0C9920-405A-4835-B9EA-9A688D42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0100" y="0"/>
          <a:ext cx="2711450" cy="973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49"/>
  <sheetViews>
    <sheetView showGridLines="0" tabSelected="1" workbookViewId="0">
      <selection activeCell="O15" sqref="O15"/>
    </sheetView>
  </sheetViews>
  <sheetFormatPr defaultColWidth="6.61328125" defaultRowHeight="15" customHeight="1"/>
  <cols>
    <col min="1" max="1" width="10.61328125" style="4" customWidth="1"/>
    <col min="2" max="2" width="5.07421875" style="4" customWidth="1"/>
    <col min="3" max="3" width="6.07421875" style="4" customWidth="1"/>
    <col min="4" max="4" width="4.84375" style="4" customWidth="1"/>
    <col min="5" max="5" width="5.3828125" style="4" customWidth="1"/>
    <col min="6" max="6" width="5.23046875" style="4" customWidth="1"/>
    <col min="7" max="7" width="4.84375" style="4" customWidth="1"/>
    <col min="8" max="8" width="5.921875" style="4" customWidth="1"/>
    <col min="9" max="9" width="7.07421875" style="4" customWidth="1"/>
    <col min="10" max="10" width="13.4609375" style="4" customWidth="1"/>
    <col min="11" max="11" width="8.4609375" style="4" customWidth="1"/>
    <col min="12" max="243" width="6.61328125" style="4" customWidth="1"/>
    <col min="244" max="16384" width="6.61328125" style="5"/>
  </cols>
  <sheetData>
    <row r="1" spans="1:243" ht="12.75" customHeight="1">
      <c r="A1" s="87"/>
      <c r="B1" s="87"/>
      <c r="C1" s="87"/>
      <c r="D1" s="6"/>
      <c r="E1" s="88"/>
      <c r="F1" s="88"/>
      <c r="G1" s="89"/>
      <c r="H1" s="89"/>
      <c r="I1" s="89"/>
      <c r="J1" s="89"/>
      <c r="K1" s="25"/>
    </row>
    <row r="2" spans="1:243" ht="13.5" customHeight="1">
      <c r="A2" s="87"/>
      <c r="B2" s="87"/>
      <c r="C2" s="87"/>
      <c r="D2" s="6"/>
      <c r="E2" s="6"/>
      <c r="F2" s="6"/>
      <c r="G2" s="7"/>
      <c r="H2" s="6"/>
      <c r="I2" s="88"/>
      <c r="J2" s="89"/>
      <c r="K2" s="25"/>
    </row>
    <row r="3" spans="1:243" ht="15" customHeight="1">
      <c r="A3" s="87"/>
      <c r="B3" s="87"/>
      <c r="C3" s="87"/>
      <c r="D3" s="6"/>
      <c r="E3" s="8"/>
      <c r="F3" s="8"/>
      <c r="G3" s="9"/>
      <c r="H3" s="9"/>
      <c r="I3" s="93"/>
      <c r="J3" s="93"/>
      <c r="K3" s="25"/>
    </row>
    <row r="4" spans="1:243" ht="29.25" customHeight="1">
      <c r="A4" s="6"/>
      <c r="B4" s="6"/>
      <c r="C4" s="6"/>
      <c r="D4" s="6"/>
      <c r="E4" s="6"/>
      <c r="F4" s="6"/>
      <c r="G4" s="7"/>
      <c r="H4" s="6"/>
      <c r="I4" s="94"/>
      <c r="J4" s="94"/>
      <c r="K4" s="25"/>
    </row>
    <row r="5" spans="1:243" ht="15" customHeight="1">
      <c r="A5" s="56" t="s">
        <v>56</v>
      </c>
      <c r="B5" s="57"/>
      <c r="C5" s="57"/>
      <c r="D5" s="57"/>
      <c r="E5" s="57"/>
      <c r="F5" s="57"/>
      <c r="G5" s="57"/>
      <c r="H5" s="57"/>
      <c r="I5" s="57"/>
      <c r="J5" s="57"/>
      <c r="K5" s="25"/>
    </row>
    <row r="6" spans="1:243" ht="15" customHeight="1">
      <c r="A6" s="54" t="s">
        <v>0</v>
      </c>
      <c r="B6" s="55"/>
      <c r="C6" s="55"/>
      <c r="D6" s="54" t="s">
        <v>1</v>
      </c>
      <c r="E6" s="55"/>
      <c r="F6" s="90" t="s">
        <v>2</v>
      </c>
      <c r="G6" s="91"/>
      <c r="H6" s="92"/>
      <c r="I6" s="54" t="s">
        <v>3</v>
      </c>
      <c r="J6" s="55"/>
      <c r="K6" s="25"/>
    </row>
    <row r="7" spans="1:243" s="1" customFormat="1" ht="24.9" customHeight="1">
      <c r="A7" s="55"/>
      <c r="B7" s="55"/>
      <c r="C7" s="55"/>
      <c r="D7" s="55"/>
      <c r="E7" s="55"/>
      <c r="F7" s="11" t="s">
        <v>4</v>
      </c>
      <c r="G7" s="10" t="s">
        <v>5</v>
      </c>
      <c r="H7" s="10" t="s">
        <v>6</v>
      </c>
      <c r="I7" s="55"/>
      <c r="J7" s="55"/>
      <c r="K7" s="26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</row>
    <row r="8" spans="1:243" ht="15" customHeight="1">
      <c r="A8" s="84" t="s">
        <v>61</v>
      </c>
      <c r="B8" s="84"/>
      <c r="C8" s="84"/>
      <c r="D8" s="84" t="s">
        <v>58</v>
      </c>
      <c r="E8" s="84"/>
      <c r="F8" s="13"/>
      <c r="G8" s="14"/>
      <c r="H8" s="14"/>
      <c r="I8" s="84" t="s">
        <v>59</v>
      </c>
      <c r="J8" s="84"/>
      <c r="K8" s="25"/>
    </row>
    <row r="9" spans="1:243" ht="15" customHeight="1">
      <c r="A9" s="10" t="s">
        <v>7</v>
      </c>
      <c r="B9" s="54" t="s">
        <v>8</v>
      </c>
      <c r="C9" s="55"/>
      <c r="D9" s="10" t="s">
        <v>9</v>
      </c>
      <c r="E9" s="10" t="s">
        <v>10</v>
      </c>
      <c r="F9" s="15" t="s">
        <v>11</v>
      </c>
      <c r="G9" s="54" t="s">
        <v>12</v>
      </c>
      <c r="H9" s="55"/>
      <c r="I9" s="54" t="s">
        <v>13</v>
      </c>
      <c r="J9" s="55"/>
      <c r="K9" s="25"/>
    </row>
    <row r="10" spans="1:243" ht="15" customHeight="1">
      <c r="A10" s="16">
        <v>46151</v>
      </c>
      <c r="B10" s="84"/>
      <c r="C10" s="84"/>
      <c r="D10" s="17">
        <v>80</v>
      </c>
      <c r="E10" s="18"/>
      <c r="F10" s="18"/>
      <c r="G10" s="84"/>
      <c r="H10" s="84"/>
      <c r="I10" s="84"/>
      <c r="J10" s="84"/>
      <c r="K10" s="25"/>
    </row>
    <row r="11" spans="1:243" ht="15" customHeight="1">
      <c r="A11" s="85" t="s">
        <v>14</v>
      </c>
      <c r="B11" s="86"/>
      <c r="C11" s="86"/>
      <c r="D11" s="86"/>
      <c r="E11" s="54" t="s">
        <v>15</v>
      </c>
      <c r="F11" s="54"/>
      <c r="G11" s="55"/>
      <c r="H11" s="55"/>
      <c r="I11" s="54" t="s">
        <v>16</v>
      </c>
      <c r="J11" s="55"/>
      <c r="K11" s="25"/>
    </row>
    <row r="12" spans="1:243" ht="15" customHeight="1">
      <c r="A12" s="82"/>
      <c r="B12" s="82"/>
      <c r="C12" s="82"/>
      <c r="D12" s="82"/>
      <c r="E12" s="83"/>
      <c r="F12" s="83"/>
      <c r="G12" s="84"/>
      <c r="H12" s="84"/>
      <c r="I12" s="82"/>
      <c r="J12" s="82"/>
      <c r="K12" s="25"/>
    </row>
    <row r="13" spans="1:243" ht="15" customHeight="1">
      <c r="A13" s="72" t="s">
        <v>27</v>
      </c>
      <c r="B13" s="73"/>
      <c r="C13" s="73"/>
      <c r="D13" s="73"/>
      <c r="E13" s="73"/>
      <c r="F13" s="73"/>
      <c r="G13" s="73"/>
      <c r="H13" s="73"/>
      <c r="I13" s="73"/>
      <c r="J13" s="74"/>
      <c r="K13" s="25"/>
    </row>
    <row r="14" spans="1:243" ht="24.9" customHeight="1">
      <c r="A14" s="68" t="s">
        <v>17</v>
      </c>
      <c r="B14" s="69"/>
      <c r="C14" s="69"/>
      <c r="D14" s="70"/>
      <c r="E14" s="10" t="s">
        <v>18</v>
      </c>
      <c r="F14" s="10" t="s">
        <v>19</v>
      </c>
      <c r="G14" s="10" t="s">
        <v>20</v>
      </c>
      <c r="H14" s="10" t="s">
        <v>21</v>
      </c>
      <c r="I14" s="10" t="s">
        <v>22</v>
      </c>
      <c r="J14" s="10"/>
      <c r="K14" s="25"/>
    </row>
    <row r="15" spans="1:243" s="2" customFormat="1" ht="24.6" customHeight="1">
      <c r="A15" s="79" t="s">
        <v>24</v>
      </c>
      <c r="B15" s="80"/>
      <c r="C15" s="80"/>
      <c r="D15" s="81"/>
      <c r="E15" s="23">
        <v>20</v>
      </c>
      <c r="F15" s="20">
        <f t="shared" ref="F15" si="0">E15*H15/$D$10</f>
        <v>16.25</v>
      </c>
      <c r="G15" s="20">
        <v>55</v>
      </c>
      <c r="H15" s="22">
        <v>65</v>
      </c>
      <c r="I15" s="20">
        <f t="shared" ref="I15" si="1">H15*G15</f>
        <v>3575</v>
      </c>
      <c r="J15" s="20"/>
      <c r="K15" s="2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</row>
    <row r="16" spans="1:243" ht="24.9" customHeight="1">
      <c r="A16" s="79" t="s">
        <v>23</v>
      </c>
      <c r="B16" s="80"/>
      <c r="C16" s="80"/>
      <c r="D16" s="81"/>
      <c r="E16" s="23">
        <v>22</v>
      </c>
      <c r="F16" s="20">
        <f t="shared" ref="F16:F18" si="2">E16*H16/$D$10</f>
        <v>17.875</v>
      </c>
      <c r="G16" s="20">
        <v>95</v>
      </c>
      <c r="H16" s="22">
        <v>65</v>
      </c>
      <c r="I16" s="20">
        <f t="shared" ref="I16:I19" si="3">H16*G16</f>
        <v>6175</v>
      </c>
      <c r="J16" s="20"/>
      <c r="K16" s="25"/>
    </row>
    <row r="17" spans="1:251" s="2" customFormat="1" ht="24.9" customHeight="1">
      <c r="A17" s="79" t="s">
        <v>26</v>
      </c>
      <c r="B17" s="80"/>
      <c r="C17" s="80"/>
      <c r="D17" s="81"/>
      <c r="E17" s="23">
        <v>18</v>
      </c>
      <c r="F17" s="20">
        <f t="shared" si="2"/>
        <v>14.625</v>
      </c>
      <c r="G17" s="20">
        <v>80</v>
      </c>
      <c r="H17" s="22">
        <v>65</v>
      </c>
      <c r="I17" s="20">
        <f t="shared" si="3"/>
        <v>5200</v>
      </c>
      <c r="J17" s="20"/>
      <c r="K17" s="2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</row>
    <row r="18" spans="1:251" s="2" customFormat="1" ht="24.9" customHeight="1">
      <c r="A18" s="79" t="s">
        <v>25</v>
      </c>
      <c r="B18" s="80"/>
      <c r="C18" s="80"/>
      <c r="D18" s="81"/>
      <c r="E18" s="23">
        <v>20</v>
      </c>
      <c r="F18" s="20">
        <f t="shared" si="2"/>
        <v>16.25</v>
      </c>
      <c r="G18" s="20">
        <v>75</v>
      </c>
      <c r="H18" s="22">
        <v>65</v>
      </c>
      <c r="I18" s="20">
        <f t="shared" si="3"/>
        <v>4875</v>
      </c>
      <c r="J18" s="20"/>
      <c r="K18" s="2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</row>
    <row r="19" spans="1:251" s="42" customFormat="1" ht="24.9" customHeight="1">
      <c r="A19" s="79" t="s">
        <v>57</v>
      </c>
      <c r="B19" s="80"/>
      <c r="C19" s="80"/>
      <c r="D19" s="81"/>
      <c r="E19" s="23">
        <v>22</v>
      </c>
      <c r="F19" s="20">
        <f>E19*H19/$D$10</f>
        <v>17.875</v>
      </c>
      <c r="G19" s="20">
        <v>60</v>
      </c>
      <c r="H19" s="22">
        <v>65</v>
      </c>
      <c r="I19" s="20">
        <f t="shared" si="3"/>
        <v>3900</v>
      </c>
      <c r="J19" s="20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</row>
    <row r="20" spans="1:251" s="3" customFormat="1" ht="24.9" customHeight="1">
      <c r="A20" s="79" t="s">
        <v>55</v>
      </c>
      <c r="B20" s="80"/>
      <c r="C20" s="80"/>
      <c r="D20" s="81"/>
      <c r="E20" s="23">
        <v>20</v>
      </c>
      <c r="F20" s="20">
        <f t="shared" ref="F20" si="4">E20*H20/$D$10</f>
        <v>16.25</v>
      </c>
      <c r="G20" s="20">
        <v>70</v>
      </c>
      <c r="H20" s="22">
        <v>65</v>
      </c>
      <c r="I20" s="20">
        <f t="shared" ref="I20" si="5">H20*G20</f>
        <v>4550</v>
      </c>
      <c r="J20" s="20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</row>
    <row r="21" spans="1:251" ht="15" customHeight="1">
      <c r="A21" s="56" t="s">
        <v>28</v>
      </c>
      <c r="B21" s="57"/>
      <c r="C21" s="57"/>
      <c r="D21" s="57"/>
      <c r="E21" s="57"/>
      <c r="F21" s="57"/>
      <c r="G21" s="57"/>
      <c r="H21" s="57"/>
      <c r="I21" s="57"/>
      <c r="J21" s="57"/>
      <c r="K21" s="25"/>
    </row>
    <row r="22" spans="1:251" s="2" customFormat="1" ht="25.05" customHeight="1">
      <c r="A22" s="54" t="s">
        <v>17</v>
      </c>
      <c r="B22" s="55"/>
      <c r="C22" s="55"/>
      <c r="D22" s="55"/>
      <c r="E22" s="10" t="s">
        <v>18</v>
      </c>
      <c r="F22" s="10" t="s">
        <v>19</v>
      </c>
      <c r="G22" s="10" t="s">
        <v>20</v>
      </c>
      <c r="H22" s="10" t="s">
        <v>21</v>
      </c>
      <c r="I22" s="10" t="s">
        <v>22</v>
      </c>
      <c r="J22" s="10"/>
      <c r="K22" s="25"/>
      <c r="L22" s="4"/>
      <c r="M22" s="75"/>
      <c r="N22" s="75"/>
      <c r="O22" s="75"/>
      <c r="P22" s="75"/>
      <c r="Q22" s="4"/>
      <c r="R22" s="4"/>
      <c r="S22" s="4"/>
      <c r="T22" s="4"/>
      <c r="U22" s="4"/>
      <c r="V22" s="32"/>
      <c r="W22" s="3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</row>
    <row r="23" spans="1:251" s="2" customFormat="1" ht="15" customHeight="1">
      <c r="A23" s="76" t="s">
        <v>29</v>
      </c>
      <c r="B23" s="77"/>
      <c r="C23" s="77"/>
      <c r="D23" s="78"/>
      <c r="E23" s="31">
        <v>80</v>
      </c>
      <c r="F23" s="20">
        <f>E23*H23/$D$10</f>
        <v>60</v>
      </c>
      <c r="G23" s="41">
        <v>80</v>
      </c>
      <c r="H23" s="31">
        <v>60</v>
      </c>
      <c r="I23" s="41">
        <f>H23*G23</f>
        <v>4800</v>
      </c>
      <c r="J23" s="28"/>
      <c r="K23" s="2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</row>
    <row r="24" spans="1:251" s="2" customFormat="1" ht="15" customHeight="1">
      <c r="A24" s="43" t="s">
        <v>30</v>
      </c>
      <c r="B24" s="44"/>
      <c r="C24" s="44"/>
      <c r="D24" s="44"/>
      <c r="E24" s="31">
        <v>80</v>
      </c>
      <c r="F24" s="20">
        <f>E24*H24/$D$10</f>
        <v>60</v>
      </c>
      <c r="G24" s="41">
        <v>215</v>
      </c>
      <c r="H24" s="31">
        <v>60</v>
      </c>
      <c r="I24" s="41">
        <f>H24*G24</f>
        <v>12900</v>
      </c>
      <c r="J24" s="28"/>
      <c r="K24" s="2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</row>
    <row r="25" spans="1:251" ht="15" customHeight="1">
      <c r="A25" s="72" t="s">
        <v>31</v>
      </c>
      <c r="B25" s="73"/>
      <c r="C25" s="73"/>
      <c r="D25" s="73"/>
      <c r="E25" s="73"/>
      <c r="F25" s="73"/>
      <c r="G25" s="73"/>
      <c r="H25" s="73"/>
      <c r="I25" s="73"/>
      <c r="J25" s="74"/>
      <c r="K25" s="25"/>
    </row>
    <row r="26" spans="1:251" ht="25.05" customHeight="1">
      <c r="A26" s="54" t="s">
        <v>17</v>
      </c>
      <c r="B26" s="55"/>
      <c r="C26" s="55"/>
      <c r="D26" s="55"/>
      <c r="E26" s="10" t="s">
        <v>18</v>
      </c>
      <c r="F26" s="10" t="s">
        <v>19</v>
      </c>
      <c r="G26" s="10" t="s">
        <v>20</v>
      </c>
      <c r="H26" s="10" t="s">
        <v>21</v>
      </c>
      <c r="I26" s="10" t="s">
        <v>22</v>
      </c>
      <c r="J26" s="10"/>
      <c r="K26" s="25"/>
    </row>
    <row r="27" spans="1:251" ht="15" customHeight="1">
      <c r="A27" s="68" t="s">
        <v>32</v>
      </c>
      <c r="B27" s="69"/>
      <c r="C27" s="69"/>
      <c r="D27" s="69"/>
      <c r="E27" s="69"/>
      <c r="F27" s="69"/>
      <c r="G27" s="69"/>
      <c r="H27" s="69"/>
      <c r="I27" s="69"/>
      <c r="J27" s="70"/>
      <c r="K27" s="25"/>
    </row>
    <row r="28" spans="1:251" ht="15" customHeight="1">
      <c r="A28" s="71" t="s">
        <v>33</v>
      </c>
      <c r="B28" s="71"/>
      <c r="C28" s="71"/>
      <c r="D28" s="71"/>
      <c r="E28" s="30">
        <v>40</v>
      </c>
      <c r="F28" s="20">
        <f t="shared" ref="F28:F30" si="6">E28*H28/$D$10</f>
        <v>27.5</v>
      </c>
      <c r="G28" s="12">
        <v>110</v>
      </c>
      <c r="H28" s="30">
        <v>55</v>
      </c>
      <c r="I28" s="12">
        <f>G28*H28</f>
        <v>6050</v>
      </c>
      <c r="J28" s="28"/>
      <c r="K28" s="25"/>
    </row>
    <row r="29" spans="1:251" ht="15" customHeight="1">
      <c r="A29" s="71" t="s">
        <v>34</v>
      </c>
      <c r="B29" s="71"/>
      <c r="C29" s="71"/>
      <c r="D29" s="71"/>
      <c r="E29" s="30">
        <v>40</v>
      </c>
      <c r="F29" s="20">
        <f t="shared" si="6"/>
        <v>27.5</v>
      </c>
      <c r="G29" s="12">
        <v>110</v>
      </c>
      <c r="H29" s="30">
        <v>55</v>
      </c>
      <c r="I29" s="12">
        <f t="shared" ref="I29:I30" si="7">G29*H29</f>
        <v>6050</v>
      </c>
      <c r="J29" s="28"/>
      <c r="K29" s="25"/>
    </row>
    <row r="30" spans="1:251" ht="15" customHeight="1">
      <c r="A30" s="71" t="s">
        <v>35</v>
      </c>
      <c r="B30" s="71"/>
      <c r="C30" s="71"/>
      <c r="D30" s="71"/>
      <c r="E30" s="30">
        <v>40</v>
      </c>
      <c r="F30" s="20">
        <f t="shared" si="6"/>
        <v>27.5</v>
      </c>
      <c r="G30" s="12">
        <v>110</v>
      </c>
      <c r="H30" s="30">
        <v>55</v>
      </c>
      <c r="I30" s="12">
        <f t="shared" si="7"/>
        <v>6050</v>
      </c>
      <c r="J30" s="28"/>
      <c r="K30" s="25"/>
      <c r="L30" s="33"/>
    </row>
    <row r="31" spans="1:251" ht="15" customHeight="1">
      <c r="A31" s="56" t="s">
        <v>36</v>
      </c>
      <c r="B31" s="57"/>
      <c r="C31" s="57"/>
      <c r="D31" s="57"/>
      <c r="E31" s="57"/>
      <c r="F31" s="57"/>
      <c r="G31" s="57"/>
      <c r="H31" s="57"/>
      <c r="I31" s="57"/>
      <c r="J31" s="57"/>
      <c r="K31" s="25"/>
    </row>
    <row r="32" spans="1:251" ht="25.05" customHeight="1">
      <c r="A32" s="54" t="s">
        <v>17</v>
      </c>
      <c r="B32" s="55"/>
      <c r="C32" s="55"/>
      <c r="D32" s="55"/>
      <c r="E32" s="10" t="s">
        <v>18</v>
      </c>
      <c r="F32" s="10" t="s">
        <v>19</v>
      </c>
      <c r="G32" s="10" t="s">
        <v>20</v>
      </c>
      <c r="H32" s="10" t="s">
        <v>21</v>
      </c>
      <c r="I32" s="10" t="s">
        <v>22</v>
      </c>
      <c r="J32" s="10"/>
      <c r="K32" s="25"/>
    </row>
    <row r="33" spans="1:11" ht="15" customHeight="1">
      <c r="A33" s="64" t="s">
        <v>37</v>
      </c>
      <c r="B33" s="64" t="s">
        <v>38</v>
      </c>
      <c r="C33" s="64" t="s">
        <v>38</v>
      </c>
      <c r="D33" s="64" t="s">
        <v>38</v>
      </c>
      <c r="E33" s="29">
        <v>50</v>
      </c>
      <c r="F33" s="20">
        <f t="shared" ref="F33:F35" si="8">E33*H33/$D$10</f>
        <v>34.375</v>
      </c>
      <c r="G33" s="12">
        <v>60</v>
      </c>
      <c r="H33" s="19">
        <v>55</v>
      </c>
      <c r="I33" s="12">
        <f t="shared" ref="I33:I35" si="9">H33*G33</f>
        <v>3300</v>
      </c>
      <c r="J33" s="28"/>
      <c r="K33" s="25"/>
    </row>
    <row r="34" spans="1:11" ht="15" customHeight="1">
      <c r="A34" s="64" t="s">
        <v>39</v>
      </c>
      <c r="B34" s="64" t="s">
        <v>38</v>
      </c>
      <c r="C34" s="64" t="s">
        <v>38</v>
      </c>
      <c r="D34" s="64" t="s">
        <v>38</v>
      </c>
      <c r="E34" s="29">
        <v>60</v>
      </c>
      <c r="F34" s="20">
        <f t="shared" si="8"/>
        <v>41.25</v>
      </c>
      <c r="G34" s="12">
        <v>90</v>
      </c>
      <c r="H34" s="19">
        <v>55</v>
      </c>
      <c r="I34" s="12">
        <f t="shared" ref="I34" si="10">H34*G34</f>
        <v>4950</v>
      </c>
      <c r="J34" s="28"/>
      <c r="K34" s="25"/>
    </row>
    <row r="35" spans="1:11" ht="15" customHeight="1">
      <c r="A35" s="64" t="s">
        <v>40</v>
      </c>
      <c r="B35" s="64" t="s">
        <v>38</v>
      </c>
      <c r="C35" s="64" t="s">
        <v>38</v>
      </c>
      <c r="D35" s="64" t="s">
        <v>38</v>
      </c>
      <c r="E35" s="29">
        <v>50</v>
      </c>
      <c r="F35" s="20">
        <f t="shared" si="8"/>
        <v>34.375</v>
      </c>
      <c r="G35" s="12">
        <v>80</v>
      </c>
      <c r="H35" s="19">
        <v>55</v>
      </c>
      <c r="I35" s="12">
        <f t="shared" si="9"/>
        <v>4400</v>
      </c>
      <c r="J35" s="28"/>
      <c r="K35" s="25"/>
    </row>
    <row r="36" spans="1:11" ht="15" customHeight="1">
      <c r="A36" s="45" t="s">
        <v>41</v>
      </c>
      <c r="B36" s="46"/>
      <c r="C36" s="46"/>
      <c r="D36" s="46"/>
      <c r="E36" s="46"/>
      <c r="F36" s="46"/>
      <c r="G36" s="46"/>
      <c r="H36" s="46"/>
      <c r="I36" s="46"/>
      <c r="J36" s="35">
        <f>SUM(I13:I35)</f>
        <v>76775</v>
      </c>
    </row>
    <row r="37" spans="1:11" ht="24.9" customHeight="1">
      <c r="A37" s="47" t="s">
        <v>42</v>
      </c>
      <c r="B37" s="48"/>
      <c r="C37" s="48"/>
      <c r="D37" s="48"/>
      <c r="E37" s="48"/>
      <c r="F37" s="48"/>
      <c r="G37" s="48"/>
      <c r="H37" s="48"/>
      <c r="I37" s="48"/>
      <c r="J37" s="36">
        <f>SUM(F13:F35)</f>
        <v>411.625</v>
      </c>
    </row>
    <row r="38" spans="1:11" ht="15" customHeight="1">
      <c r="A38" s="56" t="s">
        <v>43</v>
      </c>
      <c r="B38" s="57"/>
      <c r="C38" s="57"/>
      <c r="D38" s="57"/>
      <c r="E38" s="57"/>
      <c r="F38" s="57"/>
      <c r="G38" s="57"/>
      <c r="H38" s="57"/>
      <c r="I38" s="57"/>
      <c r="J38" s="57"/>
    </row>
    <row r="39" spans="1:11" ht="25.05" customHeight="1">
      <c r="A39" s="54" t="s">
        <v>17</v>
      </c>
      <c r="B39" s="55"/>
      <c r="C39" s="55"/>
      <c r="D39" s="55"/>
      <c r="E39" s="10" t="s">
        <v>18</v>
      </c>
      <c r="F39" s="10" t="s">
        <v>19</v>
      </c>
      <c r="G39" s="10" t="s">
        <v>20</v>
      </c>
      <c r="H39" s="10" t="s">
        <v>21</v>
      </c>
      <c r="I39" s="10" t="s">
        <v>22</v>
      </c>
      <c r="J39" s="10"/>
    </row>
    <row r="40" spans="1:11" ht="15" customHeight="1">
      <c r="A40" s="58" t="s">
        <v>44</v>
      </c>
      <c r="B40" s="59"/>
      <c r="C40" s="59"/>
      <c r="D40" s="60"/>
      <c r="E40" s="21">
        <v>500</v>
      </c>
      <c r="F40" s="12"/>
      <c r="G40" s="21">
        <v>100</v>
      </c>
      <c r="H40" s="21">
        <v>80</v>
      </c>
      <c r="I40" s="12">
        <f t="shared" ref="I40:I42" si="11">G40*H40</f>
        <v>8000</v>
      </c>
      <c r="J40" s="65" t="s">
        <v>60</v>
      </c>
    </row>
    <row r="41" spans="1:11" ht="15" customHeight="1">
      <c r="A41" s="61" t="s">
        <v>45</v>
      </c>
      <c r="B41" s="62"/>
      <c r="C41" s="62"/>
      <c r="D41" s="63"/>
      <c r="E41" s="21"/>
      <c r="F41" s="12"/>
      <c r="G41" s="21">
        <v>35</v>
      </c>
      <c r="H41" s="21">
        <v>80</v>
      </c>
      <c r="I41" s="12">
        <f t="shared" si="11"/>
        <v>2800</v>
      </c>
      <c r="J41" s="66"/>
    </row>
    <row r="42" spans="1:11" ht="15" customHeight="1">
      <c r="A42" s="61" t="s">
        <v>46</v>
      </c>
      <c r="B42" s="62"/>
      <c r="C42" s="62"/>
      <c r="D42" s="63"/>
      <c r="E42" s="21"/>
      <c r="F42" s="12"/>
      <c r="G42" s="21">
        <v>20</v>
      </c>
      <c r="H42" s="21">
        <v>80</v>
      </c>
      <c r="I42" s="12">
        <f t="shared" si="11"/>
        <v>1600</v>
      </c>
      <c r="J42" s="66"/>
    </row>
    <row r="43" spans="1:11" ht="15" customHeight="1">
      <c r="A43" s="43" t="s">
        <v>47</v>
      </c>
      <c r="B43" s="44"/>
      <c r="C43" s="44"/>
      <c r="D43" s="44"/>
      <c r="E43" s="31" t="s">
        <v>48</v>
      </c>
      <c r="F43" s="12"/>
      <c r="G43" s="31">
        <v>100</v>
      </c>
      <c r="H43" s="24">
        <v>80</v>
      </c>
      <c r="I43" s="34">
        <f t="shared" ref="I43" si="12">G43*H43</f>
        <v>8000</v>
      </c>
      <c r="J43" s="67"/>
    </row>
    <row r="44" spans="1:11" ht="15" customHeight="1">
      <c r="A44" s="45" t="s">
        <v>49</v>
      </c>
      <c r="B44" s="46"/>
      <c r="C44" s="46"/>
      <c r="D44" s="46"/>
      <c r="E44" s="46"/>
      <c r="F44" s="46"/>
      <c r="G44" s="46"/>
      <c r="H44" s="46"/>
      <c r="I44" s="46"/>
      <c r="J44" s="37">
        <f>SUM(I40:I43)</f>
        <v>20400</v>
      </c>
    </row>
    <row r="45" spans="1:11" ht="15" customHeight="1">
      <c r="A45" s="45" t="s">
        <v>50</v>
      </c>
      <c r="B45" s="46"/>
      <c r="C45" s="46"/>
      <c r="D45" s="46"/>
      <c r="E45" s="46"/>
      <c r="F45" s="46"/>
      <c r="G45" s="46"/>
      <c r="H45" s="46"/>
      <c r="I45" s="46"/>
      <c r="J45" s="37">
        <f>SUM(J36,J44)</f>
        <v>97175</v>
      </c>
    </row>
    <row r="46" spans="1:11" ht="15" customHeight="1">
      <c r="A46" s="47" t="s">
        <v>51</v>
      </c>
      <c r="B46" s="48"/>
      <c r="C46" s="48"/>
      <c r="D46" s="48"/>
      <c r="E46" s="48"/>
      <c r="F46" s="48"/>
      <c r="G46" s="48"/>
      <c r="H46" s="48"/>
      <c r="I46" s="48"/>
      <c r="J46" s="38">
        <f>J45/D10</f>
        <v>1214.6875</v>
      </c>
    </row>
    <row r="47" spans="1:11" ht="15" customHeight="1">
      <c r="A47" s="49" t="s">
        <v>52</v>
      </c>
      <c r="B47" s="50"/>
      <c r="C47" s="50"/>
      <c r="D47" s="50"/>
      <c r="E47" s="50"/>
      <c r="F47" s="50"/>
      <c r="G47" s="50"/>
      <c r="H47" s="50"/>
      <c r="I47" s="51"/>
      <c r="J47" s="37">
        <v>48620</v>
      </c>
    </row>
    <row r="48" spans="1:11" ht="15" customHeight="1">
      <c r="A48" s="52" t="s">
        <v>53</v>
      </c>
      <c r="B48" s="53"/>
      <c r="C48" s="53"/>
      <c r="D48" s="53"/>
      <c r="E48" s="53"/>
      <c r="F48" s="53"/>
      <c r="G48" s="53"/>
      <c r="H48" s="53"/>
      <c r="I48" s="53"/>
      <c r="J48" s="39">
        <f>J47+J45</f>
        <v>145795</v>
      </c>
    </row>
    <row r="49" spans="1:10" ht="15" customHeight="1">
      <c r="A49" s="47" t="s">
        <v>54</v>
      </c>
      <c r="B49" s="48"/>
      <c r="C49" s="48"/>
      <c r="D49" s="48"/>
      <c r="E49" s="48"/>
      <c r="F49" s="48"/>
      <c r="G49" s="48"/>
      <c r="H49" s="48"/>
      <c r="I49" s="48"/>
      <c r="J49" s="40">
        <f>J48/$D$10</f>
        <v>1822.4375</v>
      </c>
    </row>
  </sheetData>
  <mergeCells count="65">
    <mergeCell ref="A5:J5"/>
    <mergeCell ref="F6:H6"/>
    <mergeCell ref="A8:C8"/>
    <mergeCell ref="D8:E8"/>
    <mergeCell ref="I8:J8"/>
    <mergeCell ref="A1:C1"/>
    <mergeCell ref="E1:J1"/>
    <mergeCell ref="A2:C2"/>
    <mergeCell ref="I2:J2"/>
    <mergeCell ref="A3:C3"/>
    <mergeCell ref="I3:J4"/>
    <mergeCell ref="A12:D12"/>
    <mergeCell ref="E12:H12"/>
    <mergeCell ref="I12:J12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20:D20"/>
    <mergeCell ref="A14:D14"/>
    <mergeCell ref="A13:J13"/>
    <mergeCell ref="A15:D15"/>
    <mergeCell ref="A17:D17"/>
    <mergeCell ref="A19:D19"/>
    <mergeCell ref="A16:D16"/>
    <mergeCell ref="A18:D18"/>
    <mergeCell ref="A25:J25"/>
    <mergeCell ref="A26:D26"/>
    <mergeCell ref="M22:P22"/>
    <mergeCell ref="A21:J21"/>
    <mergeCell ref="A22:D22"/>
    <mergeCell ref="A23:D23"/>
    <mergeCell ref="A31:J31"/>
    <mergeCell ref="A32:D32"/>
    <mergeCell ref="J40:J43"/>
    <mergeCell ref="A27:J27"/>
    <mergeCell ref="A28:D28"/>
    <mergeCell ref="A29:D29"/>
    <mergeCell ref="A30:D30"/>
    <mergeCell ref="A48:I48"/>
    <mergeCell ref="A49:I49"/>
    <mergeCell ref="D6:E7"/>
    <mergeCell ref="I6:J7"/>
    <mergeCell ref="A6:C7"/>
    <mergeCell ref="A37:I37"/>
    <mergeCell ref="A38:J38"/>
    <mergeCell ref="A39:D39"/>
    <mergeCell ref="A40:D40"/>
    <mergeCell ref="A24:D24"/>
    <mergeCell ref="A41:D41"/>
    <mergeCell ref="A42:D42"/>
    <mergeCell ref="A36:I36"/>
    <mergeCell ref="A34:D34"/>
    <mergeCell ref="A35:D35"/>
    <mergeCell ref="A33:D33"/>
    <mergeCell ref="A43:D43"/>
    <mergeCell ref="A44:I44"/>
    <mergeCell ref="A45:I45"/>
    <mergeCell ref="A46:I46"/>
    <mergeCell ref="A47:I47"/>
  </mergeCells>
  <pageMargins left="0.25" right="0.25" top="0.75" bottom="0.75" header="0.3" footer="0.3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Белокуров Александр</cp:lastModifiedBy>
  <cp:lastPrinted>2025-01-21T12:40:00Z</cp:lastPrinted>
  <dcterms:created xsi:type="dcterms:W3CDTF">2015-08-21T15:05:00Z</dcterms:created>
  <dcterms:modified xsi:type="dcterms:W3CDTF">2026-04-20T14:18:52Z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