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КП" sheetId="1" r:id="rId1"/>
    <sheet name="Услуг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<sst xmlns="http://schemas.openxmlformats.org/spreadsheetml/2006/main" count="84" uniqueCount="63">
  <si>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Кейтеринг- меню 2025</t>
  </si>
  <si>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</si>
  <si>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</si>
  <si>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</si>
  <si>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</si>
  <si>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</si>
  <si>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</si>
  <si>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</si>
  <si>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Лесников Михаил</t>
  </si>
  <si>
    <t>КБ</t>
  </si>
  <si>
    <t>СБЕР Советская 34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</si>
  <si>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</si>
  <si>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</si>
  <si>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</si>
  <si>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</si>
  <si>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</si>
  <si>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</si>
  <si>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</si>
  <si>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</si>
  <si>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</si>
  <si>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</si>
  <si>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Коктейльные закуски</t>
  </si>
  <si>
    <t>Эклер со сливочным сыром и тар-таром из лосося</t>
  </si>
  <si>
    <t>Эклер с куриным муссом и печеным перцем</t>
  </si>
  <si>
    <t>Выпечка</t>
  </si>
  <si>
    <t>Мини-пирожки с мясом</t>
  </si>
  <si>
    <t>Мини-пирожок с яблоком</t>
  </si>
  <si>
    <t>Десерт</t>
  </si>
  <si>
    <t xml:space="preserve">Печенье овсяное </t>
  </si>
  <si>
    <t>Мини медовик</t>
  </si>
  <si>
    <t>1/2 Сендвичи</t>
  </si>
  <si>
    <t>1/2 сендвича с индейкой и беконом</t>
  </si>
  <si>
    <t>1/2 сендвича с мягким сыром</t>
  </si>
  <si>
    <t xml:space="preserve">Каравай </t>
  </si>
  <si>
    <t>Итого кухня</t>
  </si>
  <si>
    <t>Итого грамм на персону без напитков</t>
  </si>
  <si>
    <t xml:space="preserve">Безалкогольные напитки </t>
  </si>
  <si>
    <t>Наименование</t>
  </si>
  <si>
    <t>Выход /гр</t>
  </si>
  <si>
    <t>Грамм /чел</t>
  </si>
  <si>
    <t>Цена</t>
  </si>
  <si>
    <t>Кол-во</t>
  </si>
  <si>
    <t>Сумма</t>
  </si>
  <si>
    <t>Кофе в стиках</t>
  </si>
  <si>
    <t>Сливки</t>
  </si>
  <si>
    <t>Чай ( черный/зеленый )</t>
  </si>
  <si>
    <t xml:space="preserve">Итого бар </t>
  </si>
  <si>
    <t>Итого кухня + бар</t>
  </si>
  <si>
    <t>Итого кухня + бар на персону</t>
  </si>
  <si>
    <t>Транспорт,  аренда</t>
  </si>
  <si>
    <t>ИТОГО ПО ВСЕМ РАЗДЕЛАМ</t>
  </si>
  <si>
    <t>Итого по всем разделам на персону</t>
  </si>
  <si>
    <t xml:space="preserve">Услуги на проведения мероприятия: </t>
  </si>
  <si>
    <t>Лесников Михаил Андреевич</t>
  </si>
  <si>
    <t>Кофе брейк</t>
  </si>
  <si>
    <t xml:space="preserve">СБЕР </t>
  </si>
  <si>
    <t xml:space="preserve">Дата внесения </t>
  </si>
  <si>
    <t>Услуги</t>
  </si>
  <si>
    <t>ставка</t>
  </si>
  <si>
    <t>Логистика машина</t>
  </si>
  <si>
    <t>Однаразовая посуда ( тарелки, стаканы, размешиватели )</t>
  </si>
  <si>
    <t>Итого услуг:</t>
  </si>
  <si>
    <t>Из расчета на человека: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</si>
</sst>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  <numFmt numFmtId="181" formatCode="dd\.mm\.yyyy"/>
    <numFmt numFmtId="182" formatCode="#\ ##0\ &quot;₽&quot;"/>
    <numFmt numFmtId="183" formatCode="#\ ##0&quot; р.&quot;"/>
  </numFmts>
  <fonts count="37">
    <font>
      <sz val="12"/>
      <color indexed="8"/>
      <name val="Verdana"/>
      <charset val="134"/>
    </font>
    <font>
      <b/>
      <sz val="12"/>
      <color indexed="8"/>
      <name val="Calibri"/>
      <charset val="204"/>
    </font>
    <font>
      <b/>
      <sz val="10"/>
      <color indexed="8"/>
      <name val="Calibri"/>
      <charset val="204"/>
    </font>
    <font>
      <sz val="10"/>
      <color indexed="8"/>
      <name val="Calibri"/>
      <charset val="204"/>
    </font>
    <font>
      <b/>
      <sz val="8"/>
      <color indexed="8"/>
      <name val="Calibri"/>
      <charset val="204"/>
    </font>
    <font>
      <b/>
      <sz val="9"/>
      <color indexed="8"/>
      <name val="Calibri"/>
      <charset val="204"/>
    </font>
    <font>
      <u/>
      <sz val="10"/>
      <color indexed="11"/>
      <name val="Calibri"/>
      <charset val="204"/>
    </font>
    <font>
      <b/>
      <sz val="10"/>
      <color indexed="8"/>
      <name val="Times New Roman"/>
      <charset val="204"/>
    </font>
    <font>
      <sz val="10"/>
      <color indexed="8"/>
      <name val="Verdana"/>
      <charset val="204"/>
    </font>
    <font>
      <sz val="10"/>
      <color theme="0" tint="-0.0499893185216834"/>
      <name val="Calibri"/>
      <charset val="204"/>
    </font>
    <font>
      <b/>
      <sz val="36"/>
      <color indexed="8"/>
      <name val="Calibri"/>
      <charset val="204"/>
    </font>
    <font>
      <b/>
      <sz val="5"/>
      <color indexed="8"/>
      <name val="Calibri"/>
      <charset val="204"/>
    </font>
    <font>
      <sz val="10"/>
      <name val="Calibri"/>
      <charset val="204"/>
    </font>
    <font>
      <b/>
      <sz val="11"/>
      <color indexed="8"/>
      <name val="Calibri"/>
      <charset val="204"/>
    </font>
    <font>
      <sz val="11"/>
      <color indexed="8"/>
      <name val="Calibri"/>
      <charset val="204"/>
    </font>
    <font>
      <sz val="10"/>
      <color indexed="8"/>
      <name val="Calibri"/>
      <charset val="204"/>
    </font>
    <font>
      <sz val="11"/>
      <color theme="1"/>
      <name val="Helvetica"/>
      <charset val="134"/>
      <scheme val="minor"/>
    </font>
    <font>
      <u/>
      <sz val="11"/>
      <color rgb="FF0000FF"/>
      <name val="Helvetica"/>
      <charset val="0"/>
      <scheme val="minor"/>
    </font>
    <font>
      <u/>
      <sz val="11"/>
      <color rgb="FF800080"/>
      <name val="Helvetica"/>
      <charset val="0"/>
      <scheme val="minor"/>
    </font>
    <font>
      <sz val="11"/>
      <color rgb="FFFF0000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i/>
      <sz val="11"/>
      <color rgb="FF7F7F7F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3"/>
      <color theme="3"/>
      <name val="Helvetica"/>
      <charset val="134"/>
      <scheme val="minor"/>
    </font>
    <font>
      <b/>
      <sz val="11"/>
      <color theme="3"/>
      <name val="Helvetica"/>
      <charset val="134"/>
      <scheme val="minor"/>
    </font>
    <font>
      <sz val="11"/>
      <color rgb="FF3F3F76"/>
      <name val="Helvetica"/>
      <charset val="0"/>
      <scheme val="minor"/>
    </font>
    <font>
      <b/>
      <sz val="11"/>
      <color rgb="FF3F3F3F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sz val="11"/>
      <color rgb="FFFA7D00"/>
      <name val="Helvetica"/>
      <charset val="0"/>
      <scheme val="minor"/>
    </font>
    <font>
      <b/>
      <sz val="11"/>
      <color theme="1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1"/>
      <color rgb="FF9C0006"/>
      <name val="Helvetica"/>
      <charset val="0"/>
      <scheme val="minor"/>
    </font>
    <font>
      <sz val="11"/>
      <color rgb="FF9C6500"/>
      <name val="Helvetica"/>
      <charset val="0"/>
      <scheme val="minor"/>
    </font>
    <font>
      <sz val="11"/>
      <color theme="0"/>
      <name val="Helvetica"/>
      <charset val="0"/>
      <scheme val="minor"/>
    </font>
    <font>
      <sz val="11"/>
      <color theme="1"/>
      <name val="Helvetica"/>
      <charset val="0"/>
      <scheme val="minor"/>
    </font>
    <font>
      <sz val="12"/>
      <color indexed="8"/>
      <name val="Verdana"/>
      <charset val="204"/>
    </font>
  </fonts>
  <fills count="36">
    <fill>
      <patternFill patternType="none"/>
    </fill>
    <fill>
      <patternFill patternType="gray125"/>
    </fill>
    <fill>
      <patternFill patternType="solid">
        <fgColor rgb="FFFFECD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>
      <alignment vertical="top" wrapText="1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 applyNumberFormat="0" applyFill="0" applyBorder="0" applyProtection="0">
      <alignment vertical="top" wrapText="1"/>
    </xf>
  </cellStyleXfs>
  <cellXfs count="102">
    <xf numFmtId="0" fontId="0" fillId="0" borderId="0" xfId="0" applyFont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3" xfId="0" applyNumberFormat="1" applyFont="1" applyFill="1" applyBorder="1" applyAlignment="1">
      <alignment horizontal="left" vertical="center" wrapText="1"/>
    </xf>
    <xf numFmtId="0" fontId="3" fillId="3" borderId="4" xfId="0" applyNumberFormat="1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right" vertical="center" wrapText="1"/>
    </xf>
    <xf numFmtId="0" fontId="7" fillId="2" borderId="3" xfId="0" applyNumberFormat="1" applyFont="1" applyFill="1" applyBorder="1" applyAlignment="1">
      <alignment horizontal="right" vertical="center" wrapText="1"/>
    </xf>
    <xf numFmtId="0" fontId="7" fillId="2" borderId="4" xfId="0" applyNumberFormat="1" applyFont="1" applyFill="1" applyBorder="1" applyAlignment="1">
      <alignment horizontal="right" vertical="center" wrapText="1"/>
    </xf>
    <xf numFmtId="182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vertical="top" wrapText="1"/>
    </xf>
    <xf numFmtId="0" fontId="8" fillId="0" borderId="0" xfId="0" applyFont="1">
      <alignment vertical="top" wrapText="1"/>
    </xf>
    <xf numFmtId="0" fontId="3" fillId="0" borderId="0" xfId="0" applyNumberFormat="1" applyFont="1" applyAlignment="1"/>
    <xf numFmtId="0" fontId="8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NumberFormat="1" applyFont="1" applyBorder="1" applyAlignment="1">
      <alignment horizontal="right" vertical="center" wrapText="1"/>
    </xf>
    <xf numFmtId="1" fontId="3" fillId="0" borderId="0" xfId="0" applyNumberFormat="1" applyFont="1" applyBorder="1" applyAlignment="1">
      <alignment horizontal="right" vertical="center" wrapText="1"/>
    </xf>
    <xf numFmtId="0" fontId="3" fillId="3" borderId="0" xfId="0" applyNumberFormat="1" applyFont="1" applyFill="1" applyAlignment="1"/>
    <xf numFmtId="0" fontId="3" fillId="0" borderId="0" xfId="0" applyNumberFormat="1" applyFont="1" applyBorder="1" applyAlignment="1">
      <alignment vertical="center" wrapText="1"/>
    </xf>
    <xf numFmtId="1" fontId="3" fillId="0" borderId="0" xfId="0" applyNumberFormat="1" applyFont="1" applyBorder="1" applyAlignment="1">
      <alignment vertical="center" wrapText="1"/>
    </xf>
    <xf numFmtId="20" fontId="10" fillId="0" borderId="0" xfId="0" applyNumberFormat="1" applyFont="1" applyBorder="1" applyAlignment="1">
      <alignment horizontal="right" vertical="center" wrapText="1"/>
    </xf>
    <xf numFmtId="1" fontId="10" fillId="0" borderId="0" xfId="0" applyNumberFormat="1" applyFont="1" applyBorder="1" applyAlignment="1">
      <alignment horizontal="right" vertical="center" wrapText="1"/>
    </xf>
    <xf numFmtId="0" fontId="3" fillId="3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3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3" fillId="2" borderId="3" xfId="0" applyNumberFormat="1" applyFont="1" applyFill="1" applyBorder="1" applyAlignment="1">
      <alignment horizontal="center" vertical="center" wrapText="1"/>
    </xf>
    <xf numFmtId="0" fontId="13" fillId="2" borderId="4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8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left" vertical="center" wrapText="1"/>
    </xf>
    <xf numFmtId="0" fontId="14" fillId="4" borderId="3" xfId="0" applyNumberFormat="1" applyFont="1" applyFill="1" applyBorder="1" applyAlignment="1">
      <alignment horizontal="left" vertical="center" wrapText="1"/>
    </xf>
    <xf numFmtId="0" fontId="14" fillId="4" borderId="4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0" fontId="15" fillId="4" borderId="2" xfId="0" applyNumberFormat="1" applyFont="1" applyFill="1" applyBorder="1" applyAlignment="1">
      <alignment horizontal="left" vertical="center" wrapText="1"/>
    </xf>
    <xf numFmtId="0" fontId="15" fillId="4" borderId="3" xfId="0" applyNumberFormat="1" applyFont="1" applyFill="1" applyBorder="1" applyAlignment="1">
      <alignment horizontal="left" vertical="center" wrapText="1"/>
    </xf>
    <xf numFmtId="0" fontId="15" fillId="4" borderId="4" xfId="0" applyNumberFormat="1" applyFont="1" applyFill="1" applyBorder="1" applyAlignment="1">
      <alignment horizontal="left" vertical="center" wrapText="1"/>
    </xf>
    <xf numFmtId="0" fontId="15" fillId="4" borderId="1" xfId="0" applyNumberFormat="1" applyFont="1" applyFill="1" applyBorder="1" applyAlignment="1">
      <alignment horizontal="left" vertical="center" wrapText="1"/>
    </xf>
    <xf numFmtId="1" fontId="15" fillId="4" borderId="1" xfId="0" applyNumberFormat="1" applyFont="1" applyFill="1" applyBorder="1" applyAlignment="1">
      <alignment horizontal="left" vertical="center" wrapText="1"/>
    </xf>
    <xf numFmtId="182" fontId="3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right" vertical="center" wrapText="1"/>
    </xf>
    <xf numFmtId="0" fontId="2" fillId="2" borderId="3" xfId="0" applyNumberFormat="1" applyFont="1" applyFill="1" applyBorder="1" applyAlignment="1">
      <alignment horizontal="right" vertical="center" wrapText="1"/>
    </xf>
    <xf numFmtId="0" fontId="2" fillId="2" borderId="4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182" fontId="1" fillId="2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ED3E0"/>
      <color rgb="00FFEC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304801</xdr:colOff>
      <xdr:row>0</xdr:row>
      <xdr:rowOff>0</xdr:rowOff>
    </xdr:from>
    <xdr:to>
      <xdr:col>8</xdr:col>
      <xdr:colOff>577850</xdr:colOff>
      <xdr:row>3</xdr:row>
      <xdr:rowOff>357597</xdr:rowOff>
    </xdr:to>
    <xdr:pic>
      <xdr:nvPicPr>
        <xdr:cNvPr id="4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0"/>
          <a:ext cx="3282950" cy="881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I37"/>
  <sheetViews>
    <sheetView showGridLines="0" tabSelected="1" topLeftCell="A8" workbookViewId="0">
      <selection activeCell="J31" sqref="J31"/>
    </sheetView>
  </sheetViews>
  <sheetFormatPr defaultColWidth="6.5" defaultRowHeight="15" customHeight="1"/>
  <cols>
    <col min="1" max="1" width="10.6" style="40" customWidth="1"/>
    <col min="2" max="2" width="5.1" style="40" customWidth="1"/>
    <col min="3" max="3" width="6" style="40" customWidth="1"/>
    <col min="4" max="4" width="4.7" style="40" customWidth="1"/>
    <col min="5" max="5" width="5.4" style="40" customWidth="1"/>
    <col min="6" max="6" width="5.1" style="40" customWidth="1"/>
    <col min="7" max="7" width="4.7" style="40" customWidth="1"/>
    <col min="8" max="8" width="5.7" style="40" customWidth="1"/>
    <col min="9" max="9" width="7" style="40" customWidth="1"/>
    <col min="10" max="10" width="14.3" style="40" customWidth="1"/>
    <col min="11" max="11" width="8.5" style="40" customWidth="1"/>
    <col min="12" max="243" width="6.5" style="40" customWidth="1"/>
    <col min="244" max="16384" width="6.5" style="41"/>
  </cols>
  <sheetData>
    <row r="1" ht="12.75" customHeight="1" spans="1:243">
      <c r="A1" s="42"/>
      <c r="B1" s="42"/>
      <c r="C1" s="42"/>
      <c r="D1" s="43"/>
      <c r="E1" s="44"/>
      <c r="F1" s="44"/>
      <c r="G1" s="45"/>
      <c r="H1" s="45"/>
      <c r="I1" s="45"/>
      <c r="J1" s="45"/>
      <c r="K1" s="46"/>
    </row>
    <row r="2" ht="13.5" customHeight="1" spans="1:243">
      <c r="A2" s="42"/>
      <c r="B2" s="42"/>
      <c r="C2" s="42"/>
      <c r="D2" s="43"/>
      <c r="E2" s="43"/>
      <c r="F2" s="43"/>
      <c r="G2" s="45"/>
      <c r="H2" s="43"/>
      <c r="I2" s="44"/>
      <c r="J2" s="45"/>
      <c r="K2" s="46"/>
    </row>
    <row r="3" customHeight="1" spans="1:243">
      <c r="A3" s="42"/>
      <c r="B3" s="42"/>
      <c r="C3" s="42"/>
      <c r="D3" s="43"/>
      <c r="E3" s="47"/>
      <c r="F3" s="47"/>
      <c r="G3" s="48"/>
      <c r="H3" s="48"/>
      <c r="I3" s="48"/>
      <c r="J3" s="48"/>
      <c r="K3" s="46"/>
    </row>
    <row r="4" ht="29.25" customHeight="1" spans="1:243">
      <c r="A4" s="43"/>
      <c r="B4" s="43"/>
      <c r="C4" s="43"/>
      <c r="D4" s="43"/>
      <c r="E4" s="43"/>
      <c r="F4" s="43"/>
      <c r="G4" s="45"/>
      <c r="H4" s="43"/>
      <c r="I4" s="49"/>
      <c r="J4" s="50"/>
      <c r="K4" s="46"/>
    </row>
    <row r="5" customHeight="1" spans="1:243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46"/>
    </row>
    <row r="6" customHeight="1" spans="1:243">
      <c r="A6" s="3" t="s">
        <v>1</v>
      </c>
      <c r="B6" s="4"/>
      <c r="C6" s="4"/>
      <c r="D6" s="3" t="s">
        <v>2</v>
      </c>
      <c r="E6" s="4"/>
      <c r="F6" s="5" t="s">
        <v>3</v>
      </c>
      <c r="G6" s="6"/>
      <c r="H6" s="7"/>
      <c r="I6" s="3" t="s">
        <v>4</v>
      </c>
      <c r="J6" s="4"/>
      <c r="K6" s="46"/>
    </row>
    <row r="7" s="37" customFormat="1" ht="24.95" customHeight="1" spans="1:243">
      <c r="A7" s="4"/>
      <c r="B7" s="4"/>
      <c r="C7" s="4"/>
      <c r="D7" s="4"/>
      <c r="E7" s="4"/>
      <c r="F7" s="4" t="s">
        <v>5</v>
      </c>
      <c r="G7" s="3" t="s">
        <v>6</v>
      </c>
      <c r="H7" s="3" t="s">
        <v>7</v>
      </c>
      <c r="I7" s="4"/>
      <c r="J7" s="4"/>
      <c r="K7" s="51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</row>
    <row r="8" customHeight="1" spans="1:243">
      <c r="A8" s="8" t="s">
        <v>8</v>
      </c>
      <c r="B8" s="8"/>
      <c r="C8" s="8"/>
      <c r="D8" s="8" t="s">
        <v>9</v>
      </c>
      <c r="E8" s="8"/>
      <c r="F8" s="9"/>
      <c r="G8" s="10"/>
      <c r="H8" s="10"/>
      <c r="I8" s="8" t="s">
        <v>10</v>
      </c>
      <c r="J8" s="8"/>
      <c r="K8" s="46"/>
    </row>
    <row r="9" customHeight="1" spans="1:243">
      <c r="A9" s="15" t="s">
        <v>11</v>
      </c>
      <c r="B9" s="3" t="s">
        <v>12</v>
      </c>
      <c r="C9" s="4"/>
      <c r="D9" s="3" t="s">
        <v>13</v>
      </c>
      <c r="E9" s="3" t="s">
        <v>14</v>
      </c>
      <c r="F9" s="53" t="s">
        <v>15</v>
      </c>
      <c r="G9" s="3" t="s">
        <v>16</v>
      </c>
      <c r="H9" s="4"/>
      <c r="I9" s="3" t="s">
        <v>17</v>
      </c>
      <c r="J9" s="4"/>
      <c r="K9" s="46"/>
    </row>
    <row r="10" customHeight="1" spans="1:243">
      <c r="A10" s="12"/>
      <c r="B10" s="8"/>
      <c r="C10" s="8"/>
      <c r="D10" s="13">
        <v>80</v>
      </c>
      <c r="E10" s="14"/>
      <c r="F10" s="14"/>
      <c r="G10" s="8"/>
      <c r="H10" s="8"/>
      <c r="I10" s="8"/>
      <c r="J10" s="8"/>
      <c r="K10" s="46"/>
    </row>
    <row r="11" customHeight="1" spans="1:243">
      <c r="A11" s="15" t="s">
        <v>18</v>
      </c>
      <c r="B11" s="16"/>
      <c r="C11" s="16"/>
      <c r="D11" s="16"/>
      <c r="E11" s="3" t="s">
        <v>19</v>
      </c>
      <c r="F11" s="3"/>
      <c r="G11" s="4"/>
      <c r="H11" s="4"/>
      <c r="I11" s="3" t="s">
        <v>20</v>
      </c>
      <c r="J11" s="4"/>
      <c r="K11" s="46"/>
    </row>
    <row r="12" customHeight="1" spans="1:243">
      <c r="A12" s="14"/>
      <c r="B12" s="14"/>
      <c r="C12" s="14"/>
      <c r="D12" s="14"/>
      <c r="E12" s="17"/>
      <c r="F12" s="17"/>
      <c r="G12" s="8"/>
      <c r="H12" s="8"/>
      <c r="I12" s="14"/>
      <c r="J12" s="14"/>
      <c r="K12" s="46"/>
    </row>
    <row r="13" s="38" customFormat="1" customHeight="1" spans="1:243">
      <c r="A13" s="18" t="s">
        <v>21</v>
      </c>
      <c r="B13" s="19"/>
      <c r="C13" s="19"/>
      <c r="D13" s="19"/>
      <c r="E13" s="19"/>
      <c r="F13" s="19"/>
      <c r="G13" s="19"/>
      <c r="H13" s="19"/>
      <c r="I13" s="19"/>
      <c r="J13" s="20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</row>
    <row r="14" s="39" customFormat="1" ht="24.95" customHeight="1" spans="1:243">
      <c r="A14" s="21" t="s">
        <v>22</v>
      </c>
      <c r="B14" s="54"/>
      <c r="C14" s="54"/>
      <c r="D14" s="55"/>
      <c r="E14" s="24">
        <v>28</v>
      </c>
      <c r="F14" s="25">
        <f>E14*H14/$D$10</f>
        <v>10.5</v>
      </c>
      <c r="G14" s="25">
        <v>130</v>
      </c>
      <c r="H14" s="25">
        <v>30</v>
      </c>
      <c r="I14" s="25">
        <f>H14*G14</f>
        <v>3900</v>
      </c>
      <c r="J14" s="25"/>
      <c r="K14" s="4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</row>
    <row r="15" s="38" customFormat="1" ht="18" customHeight="1" spans="1:243">
      <c r="A15" s="21" t="s">
        <v>23</v>
      </c>
      <c r="B15" s="22"/>
      <c r="C15" s="22"/>
      <c r="D15" s="23"/>
      <c r="E15" s="24">
        <v>28</v>
      </c>
      <c r="F15" s="25">
        <f>E15*H15/$D$10</f>
        <v>10.5</v>
      </c>
      <c r="G15" s="25">
        <v>70</v>
      </c>
      <c r="H15" s="25">
        <v>30</v>
      </c>
      <c r="I15" s="25">
        <f>H15*G15</f>
        <v>2100</v>
      </c>
      <c r="J15" s="2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</row>
    <row r="16" s="38" customFormat="1" customHeight="1" spans="1:243">
      <c r="A16" s="1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</row>
    <row r="17" s="38" customFormat="1" customHeight="1" spans="1:243">
      <c r="A17" s="56" t="s">
        <v>25</v>
      </c>
      <c r="B17" s="56"/>
      <c r="C17" s="56"/>
      <c r="D17" s="56"/>
      <c r="E17" s="57">
        <v>30</v>
      </c>
      <c r="F17" s="25">
        <f>E17*H17/$D$10</f>
        <v>11.25</v>
      </c>
      <c r="G17" s="8">
        <v>50</v>
      </c>
      <c r="H17" s="58">
        <v>30</v>
      </c>
      <c r="I17" s="8">
        <f>H17*G17</f>
        <v>1500</v>
      </c>
      <c r="J17" s="59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</row>
    <row r="18" s="39" customFormat="1" customHeight="1" spans="1:243">
      <c r="A18" s="60" t="s">
        <v>26</v>
      </c>
      <c r="B18" s="61"/>
      <c r="C18" s="61"/>
      <c r="D18" s="62"/>
      <c r="E18" s="57">
        <v>30</v>
      </c>
      <c r="F18" s="25">
        <f t="shared" ref="F18" si="0">E18*H18/$D$10</f>
        <v>11.25</v>
      </c>
      <c r="G18" s="8">
        <v>40</v>
      </c>
      <c r="H18" s="58">
        <v>30</v>
      </c>
      <c r="I18" s="8">
        <f t="shared" ref="I18" si="1">H18*G18</f>
        <v>1200</v>
      </c>
      <c r="J18" s="59"/>
      <c r="K18" s="46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</row>
    <row r="19" s="38" customFormat="1" customHeight="1" spans="1:243">
      <c r="A19" s="1" t="s">
        <v>27</v>
      </c>
      <c r="B19" s="2"/>
      <c r="C19" s="2"/>
      <c r="D19" s="2"/>
      <c r="E19" s="2"/>
      <c r="F19" s="2"/>
      <c r="G19" s="2"/>
      <c r="H19" s="2"/>
      <c r="I19" s="2"/>
      <c r="J19" s="2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</row>
    <row r="20" s="38" customFormat="1" customHeight="1" spans="1:243">
      <c r="A20" s="63" t="s">
        <v>28</v>
      </c>
      <c r="B20" s="64"/>
      <c r="C20" s="64"/>
      <c r="D20" s="65"/>
      <c r="E20" s="66">
        <v>30</v>
      </c>
      <c r="F20" s="25">
        <f>E20*H20/$D$10</f>
        <v>11.25</v>
      </c>
      <c r="G20" s="8">
        <v>30</v>
      </c>
      <c r="H20" s="58">
        <v>30</v>
      </c>
      <c r="I20" s="8">
        <f>H20*G20</f>
        <v>900</v>
      </c>
      <c r="J20" s="59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</row>
    <row r="21" s="38" customFormat="1" customHeight="1" spans="1:243">
      <c r="A21" s="67" t="s">
        <v>29</v>
      </c>
      <c r="B21" s="68"/>
      <c r="C21" s="68"/>
      <c r="D21" s="69"/>
      <c r="E21" s="66">
        <v>50</v>
      </c>
      <c r="F21" s="25">
        <f>E21*H21/$D$10</f>
        <v>25</v>
      </c>
      <c r="G21" s="8">
        <v>60</v>
      </c>
      <c r="H21" s="58">
        <v>40</v>
      </c>
      <c r="I21" s="8">
        <f>H21*G21</f>
        <v>2400</v>
      </c>
      <c r="J21" s="59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</row>
    <row r="22" s="38" customFormat="1" customHeight="1" spans="1:243">
      <c r="A22" s="70" t="s">
        <v>30</v>
      </c>
      <c r="B22" s="71"/>
      <c r="C22" s="71"/>
      <c r="D22" s="71"/>
      <c r="E22" s="71"/>
      <c r="F22" s="71"/>
      <c r="G22" s="71"/>
      <c r="H22" s="71"/>
      <c r="I22" s="71"/>
      <c r="J22" s="72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</row>
    <row r="23" s="38" customFormat="1" customHeight="1" spans="1:243">
      <c r="A23" s="73" t="s">
        <v>31</v>
      </c>
      <c r="B23" s="74"/>
      <c r="C23" s="74"/>
      <c r="D23" s="75"/>
      <c r="E23" s="76">
        <v>75</v>
      </c>
      <c r="F23" s="25">
        <f>E23*H23/$D$10</f>
        <v>28.125</v>
      </c>
      <c r="G23" s="8">
        <v>130</v>
      </c>
      <c r="H23" s="58">
        <v>30</v>
      </c>
      <c r="I23" s="8">
        <f>H23*G23</f>
        <v>3900</v>
      </c>
      <c r="J23" s="59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</row>
    <row r="24" s="38" customFormat="1" customHeight="1" spans="1:243">
      <c r="A24" s="77" t="s">
        <v>32</v>
      </c>
      <c r="B24" s="77" t="s">
        <v>33</v>
      </c>
      <c r="C24" s="77" t="s">
        <v>33</v>
      </c>
      <c r="D24" s="77" t="s">
        <v>33</v>
      </c>
      <c r="E24" s="76">
        <v>75</v>
      </c>
      <c r="F24" s="25">
        <f>E24*H24/$D$10</f>
        <v>28.125</v>
      </c>
      <c r="G24" s="8">
        <v>150</v>
      </c>
      <c r="H24" s="58">
        <v>30</v>
      </c>
      <c r="I24" s="8">
        <f>H24*G24</f>
        <v>4500</v>
      </c>
      <c r="J24" s="59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</row>
    <row r="25" customHeight="1" spans="1:243">
      <c r="A25" s="78" t="s">
        <v>34</v>
      </c>
      <c r="B25" s="79"/>
      <c r="C25" s="79"/>
      <c r="D25" s="79"/>
      <c r="E25" s="79"/>
      <c r="F25" s="79"/>
      <c r="G25" s="79"/>
      <c r="H25" s="79"/>
      <c r="I25" s="79"/>
      <c r="J25" s="80">
        <f>SUM(I13:I24)</f>
        <v>20400</v>
      </c>
    </row>
    <row r="26" customHeight="1" spans="1:243">
      <c r="A26" s="81" t="s">
        <v>35</v>
      </c>
      <c r="B26" s="82"/>
      <c r="C26" s="82"/>
      <c r="D26" s="82"/>
      <c r="E26" s="82"/>
      <c r="F26" s="82"/>
      <c r="G26" s="82"/>
      <c r="H26" s="82"/>
      <c r="I26" s="82"/>
      <c r="J26" s="83">
        <f>SUM(F13:F24)</f>
        <v>136</v>
      </c>
    </row>
    <row r="27" customHeight="1" spans="1:243">
      <c r="A27" s="1" t="s">
        <v>36</v>
      </c>
      <c r="B27" s="2"/>
      <c r="C27" s="2"/>
      <c r="D27" s="2"/>
      <c r="E27" s="2"/>
      <c r="F27" s="2"/>
      <c r="G27" s="2"/>
      <c r="H27" s="2"/>
      <c r="I27" s="2"/>
      <c r="J27" s="2"/>
    </row>
    <row r="28" ht="24.95" customHeight="1" spans="1:243">
      <c r="A28" s="3" t="s">
        <v>37</v>
      </c>
      <c r="B28" s="4"/>
      <c r="C28" s="4"/>
      <c r="D28" s="4"/>
      <c r="E28" s="3" t="s">
        <v>38</v>
      </c>
      <c r="F28" s="3" t="s">
        <v>39</v>
      </c>
      <c r="G28" s="3" t="s">
        <v>40</v>
      </c>
      <c r="H28" s="3" t="s">
        <v>41</v>
      </c>
      <c r="I28" s="3" t="s">
        <v>42</v>
      </c>
      <c r="J28" s="3"/>
    </row>
    <row r="29" customHeight="1" spans="1:243">
      <c r="A29" s="84" t="s">
        <v>43</v>
      </c>
      <c r="B29" s="85"/>
      <c r="C29" s="85"/>
      <c r="D29" s="86"/>
      <c r="E29" s="87"/>
      <c r="F29" s="8"/>
      <c r="G29" s="87">
        <v>50</v>
      </c>
      <c r="H29" s="88">
        <v>40</v>
      </c>
      <c r="I29" s="8">
        <f>H29*G29</f>
        <v>2000</v>
      </c>
      <c r="J29" s="88"/>
    </row>
    <row r="30" customHeight="1" spans="1:243">
      <c r="A30" s="89" t="s">
        <v>44</v>
      </c>
      <c r="B30" s="90"/>
      <c r="C30" s="90"/>
      <c r="D30" s="91"/>
      <c r="E30" s="87"/>
      <c r="F30" s="8"/>
      <c r="G30" s="87">
        <v>20</v>
      </c>
      <c r="H30" s="88">
        <v>40</v>
      </c>
      <c r="I30" s="8">
        <f t="shared" ref="I30:I31" si="2">H30*G30</f>
        <v>800</v>
      </c>
      <c r="J30" s="88"/>
    </row>
    <row r="31" customHeight="1" spans="1:243">
      <c r="A31" s="92" t="s">
        <v>45</v>
      </c>
      <c r="B31" s="93"/>
      <c r="C31" s="93"/>
      <c r="D31" s="93"/>
      <c r="E31" s="87"/>
      <c r="F31" s="8"/>
      <c r="G31" s="87">
        <v>35</v>
      </c>
      <c r="H31" s="88">
        <v>40</v>
      </c>
      <c r="I31" s="8">
        <f t="shared" si="2"/>
        <v>1400</v>
      </c>
      <c r="J31" s="88"/>
    </row>
    <row r="32" customHeight="1" spans="1:243">
      <c r="A32" s="78" t="s">
        <v>46</v>
      </c>
      <c r="B32" s="79"/>
      <c r="C32" s="79"/>
      <c r="D32" s="79"/>
      <c r="E32" s="79"/>
      <c r="F32" s="79"/>
      <c r="G32" s="79"/>
      <c r="H32" s="79"/>
      <c r="I32" s="79"/>
      <c r="J32" s="35">
        <f>SUM(I29:I31)</f>
        <v>4200</v>
      </c>
    </row>
    <row r="33" customHeight="1" spans="1:10">
      <c r="A33" s="78" t="s">
        <v>47</v>
      </c>
      <c r="B33" s="79"/>
      <c r="C33" s="79"/>
      <c r="D33" s="79"/>
      <c r="E33" s="79"/>
      <c r="F33" s="79"/>
      <c r="G33" s="79"/>
      <c r="H33" s="79"/>
      <c r="I33" s="79"/>
      <c r="J33" s="35">
        <f>SUM(J25,J32)</f>
        <v>24600</v>
      </c>
    </row>
    <row r="34" customHeight="1" spans="1:10">
      <c r="A34" s="81" t="s">
        <v>48</v>
      </c>
      <c r="B34" s="82"/>
      <c r="C34" s="82"/>
      <c r="D34" s="82"/>
      <c r="E34" s="82"/>
      <c r="F34" s="82"/>
      <c r="G34" s="82"/>
      <c r="H34" s="82"/>
      <c r="I34" s="82"/>
      <c r="J34" s="94">
        <f>J33/D10</f>
        <v>307.5</v>
      </c>
    </row>
    <row r="35" customHeight="1" spans="1:10">
      <c r="A35" s="95" t="s">
        <v>49</v>
      </c>
      <c r="B35" s="96"/>
      <c r="C35" s="96"/>
      <c r="D35" s="96"/>
      <c r="E35" s="96"/>
      <c r="F35" s="96"/>
      <c r="G35" s="96"/>
      <c r="H35" s="96"/>
      <c r="I35" s="97"/>
      <c r="J35" s="35">
        <v>4100</v>
      </c>
    </row>
    <row r="36" customHeight="1" spans="1:10">
      <c r="A36" s="98" t="s">
        <v>50</v>
      </c>
      <c r="B36" s="99"/>
      <c r="C36" s="99"/>
      <c r="D36" s="99"/>
      <c r="E36" s="99"/>
      <c r="F36" s="99"/>
      <c r="G36" s="99"/>
      <c r="H36" s="99"/>
      <c r="I36" s="99"/>
      <c r="J36" s="100">
        <f>J35+J32+J25</f>
        <v>28700</v>
      </c>
    </row>
    <row r="37" customHeight="1" spans="1:10">
      <c r="A37" s="81" t="s">
        <v>51</v>
      </c>
      <c r="B37" s="82"/>
      <c r="C37" s="82"/>
      <c r="D37" s="82"/>
      <c r="E37" s="82"/>
      <c r="F37" s="82"/>
      <c r="G37" s="82"/>
      <c r="H37" s="82"/>
      <c r="I37" s="82"/>
      <c r="J37" s="101">
        <f>J36/$D$10</f>
        <v>358.75</v>
      </c>
    </row>
  </sheetData>
  <mergeCells count="50">
    <mergeCell ref="A1:C1"/>
    <mergeCell ref="E1:J1"/>
    <mergeCell ref="A2:C2"/>
    <mergeCell ref="I2:J2"/>
    <mergeCell ref="A3:C3"/>
    <mergeCell ref="I4:J4"/>
    <mergeCell ref="A5:J5"/>
    <mergeCell ref="F6:H6"/>
    <mergeCell ref="A8:C8"/>
    <mergeCell ref="D8:E8"/>
    <mergeCell ref="I8:J8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4:D14"/>
    <mergeCell ref="A15:D15"/>
    <mergeCell ref="A16:J16"/>
    <mergeCell ref="A17:D17"/>
    <mergeCell ref="A18:D18"/>
    <mergeCell ref="A19:J19"/>
    <mergeCell ref="A21:D21"/>
    <mergeCell ref="A22:J22"/>
    <mergeCell ref="A23:D23"/>
    <mergeCell ref="A24:D24"/>
    <mergeCell ref="A25:I25"/>
    <mergeCell ref="A26:I26"/>
    <mergeCell ref="A27:J27"/>
    <mergeCell ref="A28:D28"/>
    <mergeCell ref="A29:D29"/>
    <mergeCell ref="A30:D30"/>
    <mergeCell ref="A31:D31"/>
    <mergeCell ref="A32:I32"/>
    <mergeCell ref="A33:I33"/>
    <mergeCell ref="A34:I34"/>
    <mergeCell ref="A35:I35"/>
    <mergeCell ref="A36:I36"/>
    <mergeCell ref="A37:I37"/>
    <mergeCell ref="D6:E7"/>
    <mergeCell ref="I6:J7"/>
    <mergeCell ref="A6:C7"/>
  </mergeCells>
  <pageMargins left="0.25" right="0.25" top="0.75" bottom="0.75" header="0.3" footer="0.3"/>
  <pageSetup paperSize="9" orientation="portrait"/>
  <headerFooter>
    <oddFooter>&amp;L&amp;"Helvetica,Regular"&amp;11&amp;K000000	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H12" sqref="H12:J12"/>
    </sheetView>
  </sheetViews>
  <sheetFormatPr defaultColWidth="8.7" defaultRowHeight="15"/>
  <sheetData>
    <row r="1" ht="15.75" spans="1:10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4"/>
      <c r="C2" s="4"/>
      <c r="D2" s="3" t="s">
        <v>2</v>
      </c>
      <c r="E2" s="4"/>
      <c r="F2" s="5" t="s">
        <v>3</v>
      </c>
      <c r="G2" s="6"/>
      <c r="H2" s="7"/>
      <c r="I2" s="3" t="s">
        <v>4</v>
      </c>
      <c r="J2" s="4"/>
    </row>
    <row r="3" spans="1:10">
      <c r="A3" s="4"/>
      <c r="B3" s="4"/>
      <c r="C3" s="4"/>
      <c r="D3" s="4"/>
      <c r="E3" s="4"/>
      <c r="F3" s="4" t="s">
        <v>5</v>
      </c>
      <c r="G3" s="3" t="s">
        <v>6</v>
      </c>
      <c r="H3" s="3" t="s">
        <v>7</v>
      </c>
      <c r="I3" s="4"/>
      <c r="J3" s="4"/>
    </row>
    <row r="4" spans="1:10">
      <c r="A4" s="8" t="s">
        <v>53</v>
      </c>
      <c r="B4" s="8"/>
      <c r="C4" s="8"/>
      <c r="D4" s="8" t="s">
        <v>54</v>
      </c>
      <c r="E4" s="8"/>
      <c r="F4" s="9"/>
      <c r="G4" s="10"/>
      <c r="H4" s="10"/>
      <c r="I4" s="8" t="s">
        <v>55</v>
      </c>
      <c r="J4" s="8"/>
    </row>
    <row r="5" ht="25.5" spans="1:10">
      <c r="A5" s="3" t="s">
        <v>11</v>
      </c>
      <c r="B5" s="3" t="s">
        <v>12</v>
      </c>
      <c r="C5" s="4"/>
      <c r="D5" s="3" t="s">
        <v>13</v>
      </c>
      <c r="E5" s="3" t="s">
        <v>14</v>
      </c>
      <c r="F5" s="11" t="s">
        <v>56</v>
      </c>
      <c r="G5" s="3" t="s">
        <v>16</v>
      </c>
      <c r="H5" s="4"/>
      <c r="I5" s="3" t="s">
        <v>17</v>
      </c>
      <c r="J5" s="4"/>
    </row>
    <row r="6" spans="1:10">
      <c r="A6" s="12">
        <v>46148</v>
      </c>
      <c r="B6" s="8"/>
      <c r="C6" s="8"/>
      <c r="D6" s="13">
        <v>80</v>
      </c>
      <c r="E6" s="14"/>
      <c r="F6" s="14"/>
      <c r="G6" s="8"/>
      <c r="H6" s="8"/>
      <c r="I6" s="8"/>
      <c r="J6" s="8"/>
    </row>
    <row r="7" spans="1:10">
      <c r="A7" s="15" t="s">
        <v>18</v>
      </c>
      <c r="B7" s="16"/>
      <c r="C7" s="16"/>
      <c r="D7" s="16"/>
      <c r="E7" s="3" t="s">
        <v>19</v>
      </c>
      <c r="F7" s="3"/>
      <c r="G7" s="4"/>
      <c r="H7" s="4"/>
      <c r="I7" s="3" t="s">
        <v>20</v>
      </c>
      <c r="J7" s="4"/>
    </row>
    <row r="8" spans="1:10">
      <c r="A8" s="14"/>
      <c r="B8" s="14"/>
      <c r="C8" s="14"/>
      <c r="D8" s="14"/>
      <c r="E8" s="17"/>
      <c r="F8" s="17"/>
      <c r="G8" s="8"/>
      <c r="H8" s="8"/>
      <c r="I8" s="14"/>
      <c r="J8" s="14"/>
    </row>
    <row r="9" ht="15.75" spans="1:10">
      <c r="A9" s="18" t="s">
        <v>57</v>
      </c>
      <c r="B9" s="19"/>
      <c r="C9" s="19"/>
      <c r="D9" s="19"/>
      <c r="E9" s="19"/>
      <c r="F9" s="19"/>
      <c r="G9" s="19"/>
      <c r="H9" s="19"/>
      <c r="I9" s="19"/>
      <c r="J9" s="20"/>
    </row>
    <row r="10" spans="1:10">
      <c r="A10" s="3" t="s">
        <v>37</v>
      </c>
      <c r="B10" s="4"/>
      <c r="C10" s="4"/>
      <c r="D10" s="4"/>
      <c r="E10" s="11" t="s">
        <v>13</v>
      </c>
      <c r="F10" s="3" t="s">
        <v>58</v>
      </c>
      <c r="G10" s="3" t="s">
        <v>42</v>
      </c>
      <c r="H10" s="3"/>
      <c r="I10" s="3"/>
      <c r="J10" s="3"/>
    </row>
    <row r="11" spans="1:10">
      <c r="A11" s="21" t="s">
        <v>59</v>
      </c>
      <c r="B11" s="22"/>
      <c r="C11" s="22"/>
      <c r="D11" s="23"/>
      <c r="E11" s="24">
        <v>4</v>
      </c>
      <c r="F11" s="25">
        <v>500</v>
      </c>
      <c r="G11" s="24">
        <f>F11*E11</f>
        <v>2000</v>
      </c>
      <c r="H11" s="24"/>
      <c r="I11" s="24"/>
      <c r="J11" s="24"/>
    </row>
    <row r="12" spans="1:10">
      <c r="A12" s="21"/>
      <c r="B12" s="22"/>
      <c r="C12" s="22"/>
      <c r="D12" s="23"/>
      <c r="E12" s="24"/>
      <c r="F12" s="25"/>
      <c r="G12" s="24"/>
      <c r="H12" s="25"/>
      <c r="I12" s="25"/>
      <c r="J12" s="25"/>
    </row>
    <row r="13" spans="1:10">
      <c r="A13" s="26" t="s">
        <v>60</v>
      </c>
      <c r="B13" s="27"/>
      <c r="C13" s="27"/>
      <c r="D13" s="27"/>
      <c r="E13" s="24">
        <v>60</v>
      </c>
      <c r="F13" s="25">
        <v>35</v>
      </c>
      <c r="G13" s="24">
        <f>F13*E13</f>
        <v>2100</v>
      </c>
      <c r="H13" s="28"/>
      <c r="I13" s="28"/>
      <c r="J13" s="28"/>
    </row>
    <row r="14" spans="1:10">
      <c r="A14" s="26"/>
      <c r="B14" s="27"/>
      <c r="C14" s="27"/>
      <c r="D14" s="27"/>
      <c r="E14" s="24"/>
      <c r="F14" s="25"/>
      <c r="G14" s="24"/>
      <c r="H14" s="28"/>
      <c r="I14" s="28"/>
      <c r="J14" s="28"/>
    </row>
    <row r="15" spans="1:10">
      <c r="A15" s="29"/>
      <c r="B15" s="30"/>
      <c r="C15" s="30"/>
      <c r="D15" s="30"/>
      <c r="E15" s="31"/>
      <c r="F15" s="32" t="s">
        <v>61</v>
      </c>
      <c r="G15" s="33"/>
      <c r="H15" s="33"/>
      <c r="I15" s="34"/>
      <c r="J15" s="35">
        <f>SUM(G11:G14)</f>
        <v>4100</v>
      </c>
    </row>
    <row r="16" spans="1:10">
      <c r="A16" s="29"/>
      <c r="B16" s="30"/>
      <c r="C16" s="30"/>
      <c r="D16" s="30"/>
      <c r="E16" s="30"/>
      <c r="F16" s="31"/>
      <c r="G16" s="36" t="s">
        <v>62</v>
      </c>
      <c r="H16" s="36"/>
      <c r="I16" s="36"/>
      <c r="J16" s="35">
        <f>J15/D6</f>
        <v>51.25</v>
      </c>
    </row>
  </sheetData>
  <mergeCells count="35">
    <mergeCell ref="A1:J1"/>
    <mergeCell ref="F2:H2"/>
    <mergeCell ref="A4:C4"/>
    <mergeCell ref="D4:E4"/>
    <mergeCell ref="I4:J4"/>
    <mergeCell ref="B5:C5"/>
    <mergeCell ref="G5:H5"/>
    <mergeCell ref="I5:J5"/>
    <mergeCell ref="B6:C6"/>
    <mergeCell ref="G6:H6"/>
    <mergeCell ref="I6:J6"/>
    <mergeCell ref="A7:D7"/>
    <mergeCell ref="E7:H7"/>
    <mergeCell ref="I7:J7"/>
    <mergeCell ref="A8:D8"/>
    <mergeCell ref="E8:H8"/>
    <mergeCell ref="I8:J8"/>
    <mergeCell ref="A9:J9"/>
    <mergeCell ref="A10:D10"/>
    <mergeCell ref="H10:J10"/>
    <mergeCell ref="A11:D11"/>
    <mergeCell ref="H11:J11"/>
    <mergeCell ref="A12:D12"/>
    <mergeCell ref="H12:J12"/>
    <mergeCell ref="A13:D13"/>
    <mergeCell ref="H13:J13"/>
    <mergeCell ref="A14:D14"/>
    <mergeCell ref="H14:J14"/>
    <mergeCell ref="A15:E15"/>
    <mergeCell ref="F15:I15"/>
    <mergeCell ref="A16:F16"/>
    <mergeCell ref="G16:I16"/>
    <mergeCell ref="A2:C3"/>
    <mergeCell ref="D2:E3"/>
    <mergeCell ref="I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КП</vt:lpstr>
      <vt:lpstr>Услуги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LesnikovMA</cp:lastModifiedBy>
  <dcterms:created xsi:type="dcterms:W3CDTF">2015-08-21T15:05:00Z</dcterms:created>
  <cp:lastPrinted>2025-12-03T14:23:00Z</cp:lastPrinted>
  <dcterms:modified xsi:type="dcterms:W3CDTF">2026-05-04T12:31:22Z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4B9216B28F3944478F6530E0C34412D3_13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