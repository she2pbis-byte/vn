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3 Неутвержденные\05 Май\23.05 Стрелка забег\"/>
    </mc:Choice>
  </mc:AlternateContent>
  <xr:revisionPtr revIDLastSave="0" documentId="13_ncr:1_{800F770C-04D7-482D-A49E-7342C64951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1" i="1" l="1"/>
  <c r="J60" i="1"/>
  <c r="J52" i="1"/>
  <c r="I21" i="1"/>
  <c r="F21" i="1"/>
  <c r="I34" i="1"/>
  <c r="F34" i="1"/>
  <c r="I33" i="1"/>
  <c r="F33" i="1"/>
  <c r="I32" i="1"/>
  <c r="F32" i="1"/>
  <c r="F31" i="1" l="1"/>
  <c r="I31" i="1"/>
  <c r="I55" i="1"/>
  <c r="I57" i="1" l="1"/>
  <c r="I17" i="1" l="1"/>
  <c r="F17" i="1"/>
  <c r="I18" i="1"/>
  <c r="F18" i="1"/>
  <c r="I28" i="1"/>
  <c r="F28" i="1"/>
  <c r="I20" i="1" l="1"/>
  <c r="F20" i="1"/>
  <c r="I19" i="1"/>
  <c r="F19" i="1"/>
  <c r="I59" i="1" l="1"/>
  <c r="I58" i="1"/>
  <c r="I56" i="1"/>
  <c r="I49" i="1"/>
  <c r="F49" i="1"/>
  <c r="I48" i="1"/>
  <c r="F48" i="1"/>
  <c r="I47" i="1"/>
  <c r="F47" i="1"/>
  <c r="I50" i="1"/>
  <c r="F50" i="1"/>
  <c r="I45" i="1"/>
  <c r="F45" i="1"/>
  <c r="I44" i="1"/>
  <c r="F44" i="1"/>
  <c r="I43" i="1"/>
  <c r="F43" i="1"/>
  <c r="I40" i="1"/>
  <c r="F40" i="1"/>
  <c r="I39" i="1"/>
  <c r="F39" i="1"/>
  <c r="I38" i="1"/>
  <c r="F38" i="1"/>
  <c r="I27" i="1"/>
  <c r="F27" i="1"/>
  <c r="I24" i="1"/>
  <c r="F24" i="1"/>
  <c r="I16" i="1"/>
  <c r="F16" i="1"/>
  <c r="I15" i="1"/>
  <c r="F15" i="1"/>
  <c r="J61" i="1" l="1"/>
  <c r="J64" i="1" s="1"/>
  <c r="J65" i="1" s="1"/>
  <c r="J62" i="1" l="1"/>
</calcChain>
</file>

<file path=xl/sharedStrings.xml><?xml version="1.0" encoding="utf-8"?>
<sst xmlns="http://schemas.openxmlformats.org/spreadsheetml/2006/main" count="110" uniqueCount="74">
  <si>
    <t>Кейтеринг- меню 2026</t>
  </si>
  <si>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</si>
  <si>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</si>
  <si>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</si>
  <si>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</si>
  <si>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</si>
  <si>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</si>
  <si>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</si>
  <si>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Александр</t>
  </si>
  <si>
    <t>Фуршет</t>
  </si>
  <si>
    <t>Стрелка, шатер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</si>
  <si>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</si>
  <si>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</si>
  <si>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</si>
  <si>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</si>
  <si>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</si>
  <si>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</si>
  <si>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</si>
  <si>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</si>
  <si>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</si>
  <si>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</si>
  <si>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Фуршетные закуски</t>
  </si>
  <si>
    <t>Наименование</t>
  </si>
  <si>
    <t>Выход /гр</t>
  </si>
  <si>
    <t>Грамм /чел</t>
  </si>
  <si>
    <t>Цена</t>
  </si>
  <si>
    <t>Кол-во</t>
  </si>
  <si>
    <t>Сумма</t>
  </si>
  <si>
    <t>Канапе со сливочным сыром, пармой и печеной грушей</t>
  </si>
  <si>
    <t xml:space="preserve">Блин розовый с вялеными томатами и сливочным сыром </t>
  </si>
  <si>
    <t>Нарезка</t>
  </si>
  <si>
    <t>Салаты</t>
  </si>
  <si>
    <t>Горячие блюда</t>
  </si>
  <si>
    <t>Выпечка, бутерброды</t>
  </si>
  <si>
    <t>Мини-пирожки</t>
  </si>
  <si>
    <t>Пирожок с мясом</t>
  </si>
  <si>
    <t>Пирожок ржаной с грибами</t>
  </si>
  <si>
    <t>Пирожок с брусникой</t>
  </si>
  <si>
    <t>Десерт</t>
  </si>
  <si>
    <r>
      <rPr>
        <sz val="10"/>
        <color rgb="FF000000"/>
        <rFont val="Calibri"/>
        <charset val="204"/>
      </rPr>
      <t>Мини-эклеры</t>
    </r>
    <r>
      <rPr>
        <sz val="10"/>
        <color indexed="8"/>
        <rFont val="Calibri"/>
        <charset val="204"/>
      </rPr>
      <t>/ванильный, кофейный, манго, фисташка-малина, шоколадный, шоколадный с ореховой глазурью</t>
    </r>
  </si>
  <si>
    <t>Макрони в ассортименте</t>
  </si>
  <si>
    <t>Ассорти бон-бон /лимон, мохито, вишня, малина, манго-маракуйя, маракуйя и молочный шоколад/</t>
  </si>
  <si>
    <t>Фрукты</t>
  </si>
  <si>
    <t xml:space="preserve">Морс </t>
  </si>
  <si>
    <t>Клубника</t>
  </si>
  <si>
    <t>Итого кухня</t>
  </si>
  <si>
    <t>Итого грамм на персону без напитков</t>
  </si>
  <si>
    <t xml:space="preserve">Безалкогольные напитки </t>
  </si>
  <si>
    <t>Вода "Даусуз"  стекло</t>
  </si>
  <si>
    <t>Кофе "Капуччино</t>
  </si>
  <si>
    <t>Кофе "Эспрессо", "Американо"</t>
  </si>
  <si>
    <t>30/120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</si>
  <si>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</si>
  <si>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</si>
  <si>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</si>
  <si>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</si>
  <si>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</t>
  </si>
  <si>
    <t>Итого по всем разделам на персону</t>
  </si>
  <si>
    <t>Эклер со сливочным сыром и тар-таром из лосося</t>
  </si>
  <si>
    <t>Эклер с ростбифом и вяленными томатами</t>
  </si>
  <si>
    <t>Салат "Цезарь" от шефа с курицей</t>
  </si>
  <si>
    <t>Салат "Виндерзорф" с сочной телятиной, болгарским перцем, солеными огурчиками и горчичной заправкой.</t>
  </si>
  <si>
    <t>Канапе из куриного рулета с печеным перцем и сыром</t>
  </si>
  <si>
    <t>Канапе с ростбифом, свежим огурцом и муссом из тунца</t>
  </si>
  <si>
    <t>Виноград белый (без косточек)</t>
  </si>
  <si>
    <t>Виноград красный (без косточек)</t>
  </si>
  <si>
    <t>Сырное плато  монфлер, брилья, грюйер, раклет с вареньем из брусники и фундуком</t>
  </si>
  <si>
    <t>Чай в чайнике /черный, зеленый/</t>
  </si>
  <si>
    <t>Лимонад "Цитрусовый"</t>
  </si>
  <si>
    <t xml:space="preserve">Сырники ванильные </t>
  </si>
  <si>
    <t xml:space="preserve">Сметана </t>
  </si>
  <si>
    <t>Сгущеное молоко</t>
  </si>
  <si>
    <t>Круассан с ветчиной и творожным</t>
  </si>
  <si>
    <t>Помидорка Черри с сыром мини Моцарелла на шпажке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</si>
</sst>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5">
    <font>
      <sz val="12"/>
      <color indexed="8"/>
      <name val="Verdana"/>
      <charset val="134"/>
    </font>
    <font>
      <sz val="10"/>
      <color indexed="8"/>
      <name val="Verdana"/>
      <charset val="204"/>
    </font>
    <font>
      <sz val="10"/>
      <color indexed="8"/>
      <name val="Calibri"/>
      <charset val="204"/>
    </font>
    <font>
      <sz val="10"/>
      <color theme="0" tint="-4.9989318521683403E-2"/>
      <name val="Calibri"/>
      <charset val="204"/>
    </font>
    <font>
      <b/>
      <sz val="12"/>
      <color indexed="8"/>
      <name val="Calibri"/>
      <charset val="204"/>
    </font>
    <font>
      <b/>
      <sz val="10"/>
      <color indexed="8"/>
      <name val="Calibri"/>
      <charset val="204"/>
    </font>
    <font>
      <b/>
      <sz val="5"/>
      <color indexed="8"/>
      <name val="Calibri"/>
      <charset val="204"/>
    </font>
    <font>
      <b/>
      <sz val="9"/>
      <color indexed="8"/>
      <name val="Calibri"/>
      <charset val="204"/>
    </font>
    <font>
      <u/>
      <sz val="10"/>
      <color indexed="11"/>
      <name val="Calibri"/>
      <charset val="204"/>
    </font>
    <font>
      <b/>
      <sz val="24"/>
      <color indexed="8"/>
      <name val="Calibri"/>
      <charset val="204"/>
    </font>
    <font>
      <sz val="12"/>
      <color indexed="8"/>
      <name val="Verdana"/>
      <charset val="204"/>
    </font>
    <font>
      <sz val="10"/>
      <color rgb="FF000000"/>
      <name val="Calibri"/>
      <charset val="204"/>
    </font>
    <font>
      <sz val="10"/>
      <color indexed="8"/>
      <name val="Calibri"/>
      <family val="2"/>
      <charset val="204"/>
    </font>
    <font>
      <sz val="10"/>
      <color indexed="8"/>
      <name val="Verdana"/>
      <family val="2"/>
      <charset val="204"/>
    </font>
    <font>
      <sz val="10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>
      <alignment vertical="top" wrapText="1"/>
    </xf>
  </cellStyleXfs>
  <cellXfs count="136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Border="1" applyAlignment="1"/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/>
    <xf numFmtId="0" fontId="2" fillId="0" borderId="0" xfId="0" applyNumberFormat="1" applyFont="1" applyFill="1" applyBorder="1" applyAlignment="1"/>
    <xf numFmtId="1" fontId="2" fillId="4" borderId="1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0" xfId="0" applyNumberFormat="1" applyFont="1" applyFill="1" applyAlignment="1"/>
    <xf numFmtId="0" fontId="12" fillId="0" borderId="0" xfId="0" applyNumberFormat="1" applyFont="1" applyAlignment="1"/>
    <xf numFmtId="0" fontId="13" fillId="0" borderId="0" xfId="0" applyFont="1">
      <alignment vertical="top" wrapText="1"/>
    </xf>
    <xf numFmtId="0" fontId="13" fillId="2" borderId="0" xfId="0" applyFont="1" applyFill="1">
      <alignment vertical="top" wrapText="1"/>
    </xf>
    <xf numFmtId="167" fontId="2" fillId="0" borderId="0" xfId="0" applyNumberFormat="1" applyFont="1" applyAlignment="1"/>
    <xf numFmtId="1" fontId="12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left" vertical="center" wrapText="1"/>
    </xf>
    <xf numFmtId="0" fontId="12" fillId="0" borderId="3" xfId="0" applyNumberFormat="1" applyFont="1" applyFill="1" applyBorder="1" applyAlignment="1">
      <alignment horizontal="left" vertical="center" wrapText="1"/>
    </xf>
    <xf numFmtId="0" fontId="12" fillId="0" borderId="4" xfId="0" applyNumberFormat="1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9" fillId="0" borderId="0" xfId="0" applyNumberFormat="1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12" fillId="2" borderId="2" xfId="0" applyNumberFormat="1" applyFont="1" applyFill="1" applyBorder="1" applyAlignment="1">
      <alignment horizontal="left" vertical="center" wrapText="1"/>
    </xf>
    <xf numFmtId="0" fontId="12" fillId="2" borderId="3" xfId="0" applyNumberFormat="1" applyFont="1" applyFill="1" applyBorder="1" applyAlignment="1">
      <alignment horizontal="left" vertical="center" wrapText="1"/>
    </xf>
    <xf numFmtId="0" fontId="12" fillId="2" borderId="4" xfId="0" applyNumberFormat="1" applyFont="1" applyFill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NumberFormat="1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12" fillId="4" borderId="1" xfId="0" applyNumberFormat="1" applyFont="1" applyFill="1" applyBorder="1" applyAlignment="1">
      <alignment horizontal="left" vertical="center" wrapText="1"/>
    </xf>
    <xf numFmtId="1" fontId="12" fillId="4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12" fillId="4" borderId="7" xfId="0" applyNumberFormat="1" applyFont="1" applyFill="1" applyBorder="1" applyAlignment="1">
      <alignment horizontal="left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0" fontId="12" fillId="4" borderId="8" xfId="0" applyNumberFormat="1" applyFont="1" applyFill="1" applyBorder="1" applyAlignment="1">
      <alignment horizontal="left" vertical="center" wrapText="1"/>
    </xf>
    <xf numFmtId="0" fontId="12" fillId="4" borderId="3" xfId="0" applyNumberFormat="1" applyFont="1" applyFill="1" applyBorder="1" applyAlignment="1">
      <alignment horizontal="left" vertical="center" wrapText="1"/>
    </xf>
    <xf numFmtId="0" fontId="12" fillId="4" borderId="4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4" xfId="0" applyNumberFormat="1" applyFont="1" applyFill="1" applyBorder="1" applyAlignment="1">
      <alignment horizontal="left" vertical="center" shrinkToFi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1" fontId="12" fillId="0" borderId="1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12" fillId="5" borderId="2" xfId="0" applyNumberFormat="1" applyFont="1" applyFill="1" applyBorder="1" applyAlignment="1">
      <alignment horizontal="left" vertical="center" wrapText="1"/>
    </xf>
    <xf numFmtId="0" fontId="12" fillId="5" borderId="3" xfId="0" applyNumberFormat="1" applyFont="1" applyFill="1" applyBorder="1" applyAlignment="1">
      <alignment horizontal="left" vertical="center" wrapText="1"/>
    </xf>
    <xf numFmtId="0" fontId="12" fillId="5" borderId="4" xfId="0" applyNumberFormat="1" applyFont="1" applyFill="1" applyBorder="1" applyAlignment="1">
      <alignment horizontal="left" vertical="center" wrapText="1"/>
    </xf>
    <xf numFmtId="0" fontId="12" fillId="5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209550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72640" y="0"/>
          <a:ext cx="2707640" cy="979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65"/>
  <sheetViews>
    <sheetView showGridLines="0" tabSelected="1" topLeftCell="A14" workbookViewId="0">
      <selection activeCell="J52" sqref="J52"/>
    </sheetView>
  </sheetViews>
  <sheetFormatPr defaultColWidth="6.61328125" defaultRowHeight="15" customHeight="1"/>
  <cols>
    <col min="1" max="1" width="10.61328125" style="5" customWidth="1"/>
    <col min="2" max="2" width="5.07421875" style="5" customWidth="1"/>
    <col min="3" max="3" width="6.07421875" style="5" customWidth="1"/>
    <col min="4" max="4" width="4.84375" style="5" customWidth="1"/>
    <col min="5" max="5" width="5.3828125" style="5" customWidth="1"/>
    <col min="6" max="6" width="5.23046875" style="5" customWidth="1"/>
    <col min="7" max="7" width="4.84375" style="5" customWidth="1"/>
    <col min="8" max="8" width="5.921875" style="5" customWidth="1"/>
    <col min="9" max="9" width="7.07421875" style="5" customWidth="1"/>
    <col min="10" max="10" width="13.4609375" style="5" customWidth="1"/>
    <col min="11" max="11" width="8.4609375" style="5" customWidth="1"/>
    <col min="12" max="243" width="6.61328125" style="5" customWidth="1"/>
    <col min="244" max="16384" width="6.61328125" style="6"/>
  </cols>
  <sheetData>
    <row r="1" spans="1:251" ht="12.75" customHeight="1">
      <c r="A1" s="60"/>
      <c r="B1" s="60"/>
      <c r="C1" s="60"/>
      <c r="D1" s="7"/>
      <c r="E1" s="61"/>
      <c r="F1" s="61"/>
      <c r="G1" s="62"/>
      <c r="H1" s="62"/>
      <c r="I1" s="62"/>
      <c r="J1" s="62"/>
      <c r="K1" s="31"/>
    </row>
    <row r="2" spans="1:251" ht="13.5" customHeight="1">
      <c r="A2" s="60"/>
      <c r="B2" s="60"/>
      <c r="C2" s="60"/>
      <c r="D2" s="7"/>
      <c r="E2" s="7"/>
      <c r="F2" s="7"/>
      <c r="G2" s="8"/>
      <c r="H2" s="7"/>
      <c r="I2" s="61"/>
      <c r="J2" s="62"/>
      <c r="K2" s="31"/>
    </row>
    <row r="3" spans="1:251" ht="15" customHeight="1">
      <c r="A3" s="60"/>
      <c r="B3" s="60"/>
      <c r="C3" s="60"/>
      <c r="D3" s="7"/>
      <c r="E3" s="9"/>
      <c r="F3" s="9"/>
      <c r="G3" s="10"/>
      <c r="H3" s="10"/>
      <c r="I3" s="63"/>
      <c r="J3" s="63"/>
      <c r="K3" s="31"/>
    </row>
    <row r="4" spans="1:251" ht="29.25" customHeight="1">
      <c r="A4" s="7"/>
      <c r="B4" s="7"/>
      <c r="C4" s="7"/>
      <c r="D4" s="7"/>
      <c r="E4" s="7"/>
      <c r="F4" s="7"/>
      <c r="G4" s="8"/>
      <c r="H4" s="7"/>
      <c r="I4" s="64"/>
      <c r="J4" s="64"/>
      <c r="K4" s="31"/>
    </row>
    <row r="5" spans="1:251" ht="15" customHeight="1">
      <c r="A5" s="65" t="s">
        <v>0</v>
      </c>
      <c r="B5" s="66"/>
      <c r="C5" s="66"/>
      <c r="D5" s="66"/>
      <c r="E5" s="66"/>
      <c r="F5" s="66"/>
      <c r="G5" s="66"/>
      <c r="H5" s="66"/>
      <c r="I5" s="66"/>
      <c r="J5" s="66"/>
      <c r="K5" s="31"/>
    </row>
    <row r="6" spans="1:251" ht="15" customHeight="1">
      <c r="A6" s="71" t="s">
        <v>1</v>
      </c>
      <c r="B6" s="72"/>
      <c r="C6" s="72"/>
      <c r="D6" s="71" t="s">
        <v>2</v>
      </c>
      <c r="E6" s="72"/>
      <c r="F6" s="67" t="s">
        <v>3</v>
      </c>
      <c r="G6" s="68"/>
      <c r="H6" s="69"/>
      <c r="I6" s="71" t="s">
        <v>4</v>
      </c>
      <c r="J6" s="72"/>
      <c r="K6" s="31"/>
    </row>
    <row r="7" spans="1:251" s="1" customFormat="1" ht="24.9" customHeight="1">
      <c r="A7" s="72"/>
      <c r="B7" s="72"/>
      <c r="C7" s="72"/>
      <c r="D7" s="72"/>
      <c r="E7" s="72"/>
      <c r="F7" s="12" t="s">
        <v>5</v>
      </c>
      <c r="G7" s="11" t="s">
        <v>6</v>
      </c>
      <c r="H7" s="11" t="s">
        <v>7</v>
      </c>
      <c r="I7" s="72"/>
      <c r="J7" s="72"/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</row>
    <row r="8" spans="1:251" ht="15" customHeight="1">
      <c r="A8" s="70" t="s">
        <v>8</v>
      </c>
      <c r="B8" s="70"/>
      <c r="C8" s="70"/>
      <c r="D8" s="70" t="s">
        <v>9</v>
      </c>
      <c r="E8" s="70"/>
      <c r="F8" s="14"/>
      <c r="G8" s="15"/>
      <c r="H8" s="15"/>
      <c r="I8" s="70" t="s">
        <v>10</v>
      </c>
      <c r="J8" s="70"/>
      <c r="K8" s="31"/>
    </row>
    <row r="9" spans="1:251" ht="15" customHeight="1">
      <c r="A9" s="11" t="s">
        <v>11</v>
      </c>
      <c r="B9" s="71" t="s">
        <v>12</v>
      </c>
      <c r="C9" s="72"/>
      <c r="D9" s="11" t="s">
        <v>13</v>
      </c>
      <c r="E9" s="11" t="s">
        <v>14</v>
      </c>
      <c r="F9" s="16" t="s">
        <v>15</v>
      </c>
      <c r="G9" s="71" t="s">
        <v>16</v>
      </c>
      <c r="H9" s="72"/>
      <c r="I9" s="71" t="s">
        <v>17</v>
      </c>
      <c r="J9" s="72"/>
      <c r="K9" s="31"/>
    </row>
    <row r="10" spans="1:251" ht="15" customHeight="1">
      <c r="A10" s="17">
        <v>46165</v>
      </c>
      <c r="B10" s="70"/>
      <c r="C10" s="70"/>
      <c r="D10" s="18">
        <v>30</v>
      </c>
      <c r="E10" s="19"/>
      <c r="F10" s="19"/>
      <c r="G10" s="70"/>
      <c r="H10" s="70"/>
      <c r="I10" s="70"/>
      <c r="J10" s="70"/>
      <c r="K10" s="31"/>
    </row>
    <row r="11" spans="1:251" ht="15" customHeight="1">
      <c r="A11" s="73" t="s">
        <v>18</v>
      </c>
      <c r="B11" s="74"/>
      <c r="C11" s="74"/>
      <c r="D11" s="74"/>
      <c r="E11" s="71" t="s">
        <v>19</v>
      </c>
      <c r="F11" s="71"/>
      <c r="G11" s="72"/>
      <c r="H11" s="72"/>
      <c r="I11" s="71" t="s">
        <v>20</v>
      </c>
      <c r="J11" s="72"/>
      <c r="K11" s="31"/>
    </row>
    <row r="12" spans="1:251" ht="15" customHeight="1">
      <c r="A12" s="75"/>
      <c r="B12" s="75"/>
      <c r="C12" s="75"/>
      <c r="D12" s="75"/>
      <c r="E12" s="76"/>
      <c r="F12" s="76"/>
      <c r="G12" s="70"/>
      <c r="H12" s="70"/>
      <c r="I12" s="75"/>
      <c r="J12" s="75"/>
      <c r="K12" s="31"/>
    </row>
    <row r="13" spans="1:251" ht="15" customHeight="1">
      <c r="A13" s="77" t="s">
        <v>21</v>
      </c>
      <c r="B13" s="78"/>
      <c r="C13" s="78"/>
      <c r="D13" s="78"/>
      <c r="E13" s="78"/>
      <c r="F13" s="78"/>
      <c r="G13" s="78"/>
      <c r="H13" s="78"/>
      <c r="I13" s="78"/>
      <c r="J13" s="79"/>
      <c r="K13" s="31"/>
    </row>
    <row r="14" spans="1:251" ht="24.9" customHeight="1">
      <c r="A14" s="80" t="s">
        <v>22</v>
      </c>
      <c r="B14" s="81"/>
      <c r="C14" s="81"/>
      <c r="D14" s="82"/>
      <c r="E14" s="11" t="s">
        <v>23</v>
      </c>
      <c r="F14" s="11" t="s">
        <v>24</v>
      </c>
      <c r="G14" s="11" t="s">
        <v>25</v>
      </c>
      <c r="H14" s="11" t="s">
        <v>26</v>
      </c>
      <c r="I14" s="11" t="s">
        <v>27</v>
      </c>
      <c r="J14" s="11"/>
      <c r="K14" s="31"/>
    </row>
    <row r="15" spans="1:251" ht="24.9" customHeight="1">
      <c r="A15" s="83" t="s">
        <v>28</v>
      </c>
      <c r="B15" s="84"/>
      <c r="C15" s="84"/>
      <c r="D15" s="85"/>
      <c r="E15" s="20">
        <v>19</v>
      </c>
      <c r="F15" s="21">
        <f t="shared" ref="F15:F18" si="0">E15*H15/$D$10</f>
        <v>9.5</v>
      </c>
      <c r="G15" s="21">
        <v>80</v>
      </c>
      <c r="H15" s="22">
        <v>15</v>
      </c>
      <c r="I15" s="21">
        <f t="shared" ref="I15:I18" si="1">H15*G15</f>
        <v>1200</v>
      </c>
      <c r="J15" s="21"/>
      <c r="K15" s="31"/>
    </row>
    <row r="16" spans="1:251" s="2" customFormat="1" ht="24.9" customHeight="1">
      <c r="A16" s="83" t="s">
        <v>29</v>
      </c>
      <c r="B16" s="84"/>
      <c r="C16" s="84"/>
      <c r="D16" s="85"/>
      <c r="E16" s="20">
        <v>20</v>
      </c>
      <c r="F16" s="21">
        <f t="shared" si="0"/>
        <v>10</v>
      </c>
      <c r="G16" s="21">
        <v>75</v>
      </c>
      <c r="H16" s="22">
        <v>15</v>
      </c>
      <c r="I16" s="21">
        <f t="shared" si="1"/>
        <v>1125</v>
      </c>
      <c r="J16" s="21"/>
      <c r="K16" s="3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</row>
    <row r="17" spans="1:251" s="50" customFormat="1" ht="24.9" customHeight="1">
      <c r="A17" s="86" t="s">
        <v>63</v>
      </c>
      <c r="B17" s="87"/>
      <c r="C17" s="87"/>
      <c r="D17" s="88"/>
      <c r="E17" s="46">
        <v>22</v>
      </c>
      <c r="F17" s="47">
        <f t="shared" si="0"/>
        <v>11</v>
      </c>
      <c r="G17" s="47">
        <v>95</v>
      </c>
      <c r="H17" s="22">
        <v>15</v>
      </c>
      <c r="I17" s="47">
        <f t="shared" si="1"/>
        <v>1425</v>
      </c>
      <c r="J17" s="47"/>
      <c r="K17" s="48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</row>
    <row r="18" spans="1:251" s="50" customFormat="1" ht="24.9" customHeight="1">
      <c r="A18" s="86" t="s">
        <v>62</v>
      </c>
      <c r="B18" s="87"/>
      <c r="C18" s="87"/>
      <c r="D18" s="88"/>
      <c r="E18" s="46">
        <v>18</v>
      </c>
      <c r="F18" s="47">
        <f t="shared" si="0"/>
        <v>9</v>
      </c>
      <c r="G18" s="47">
        <v>80</v>
      </c>
      <c r="H18" s="22">
        <v>15</v>
      </c>
      <c r="I18" s="47">
        <f t="shared" si="1"/>
        <v>1200</v>
      </c>
      <c r="J18" s="47"/>
      <c r="K18" s="48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</row>
    <row r="19" spans="1:251" s="50" customFormat="1" ht="24.9" customHeight="1">
      <c r="A19" s="86" t="s">
        <v>58</v>
      </c>
      <c r="B19" s="92"/>
      <c r="C19" s="92"/>
      <c r="D19" s="93"/>
      <c r="E19" s="46">
        <v>28</v>
      </c>
      <c r="F19" s="47">
        <f t="shared" ref="F19" si="2">E19*H19/$D$10</f>
        <v>14</v>
      </c>
      <c r="G19" s="47">
        <v>130</v>
      </c>
      <c r="H19" s="22">
        <v>15</v>
      </c>
      <c r="I19" s="47">
        <f t="shared" ref="I19:I21" si="3">H19*G19</f>
        <v>1950</v>
      </c>
      <c r="J19" s="47"/>
      <c r="K19" s="48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</row>
    <row r="20" spans="1:251" s="51" customFormat="1" ht="24.9" customHeight="1">
      <c r="A20" s="86" t="s">
        <v>59</v>
      </c>
      <c r="B20" s="87"/>
      <c r="C20" s="87"/>
      <c r="D20" s="88"/>
      <c r="E20" s="46">
        <v>25</v>
      </c>
      <c r="F20" s="47">
        <f>E20*H20/$D$10</f>
        <v>12.5</v>
      </c>
      <c r="G20" s="47">
        <v>100</v>
      </c>
      <c r="H20" s="22">
        <v>15</v>
      </c>
      <c r="I20" s="47">
        <f t="shared" si="3"/>
        <v>1500</v>
      </c>
      <c r="J20" s="47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</row>
    <row r="21" spans="1:251" s="50" customFormat="1" ht="24.9" customHeight="1">
      <c r="A21" s="127" t="s">
        <v>73</v>
      </c>
      <c r="B21" s="128"/>
      <c r="C21" s="128"/>
      <c r="D21" s="129"/>
      <c r="E21" s="130">
        <v>30</v>
      </c>
      <c r="F21" s="131">
        <f t="shared" ref="F21" si="4">E21*H21/$D$10</f>
        <v>20</v>
      </c>
      <c r="G21" s="131">
        <v>140</v>
      </c>
      <c r="H21" s="130">
        <v>20</v>
      </c>
      <c r="I21" s="131">
        <f t="shared" si="3"/>
        <v>2800</v>
      </c>
      <c r="J21" s="131"/>
      <c r="K21" s="48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</row>
    <row r="22" spans="1:251" ht="15" customHeight="1">
      <c r="A22" s="65" t="s">
        <v>30</v>
      </c>
      <c r="B22" s="66"/>
      <c r="C22" s="66"/>
      <c r="D22" s="66"/>
      <c r="E22" s="66"/>
      <c r="F22" s="66"/>
      <c r="G22" s="66"/>
      <c r="H22" s="66"/>
      <c r="I22" s="66"/>
      <c r="J22" s="66"/>
      <c r="K22" s="31"/>
    </row>
    <row r="23" spans="1:251" ht="24.9" customHeight="1">
      <c r="A23" s="71" t="s">
        <v>22</v>
      </c>
      <c r="B23" s="72"/>
      <c r="C23" s="72"/>
      <c r="D23" s="72"/>
      <c r="E23" s="11" t="s">
        <v>23</v>
      </c>
      <c r="F23" s="11" t="s">
        <v>24</v>
      </c>
      <c r="G23" s="11" t="s">
        <v>25</v>
      </c>
      <c r="H23" s="11" t="s">
        <v>26</v>
      </c>
      <c r="I23" s="11" t="s">
        <v>27</v>
      </c>
      <c r="J23" s="11"/>
      <c r="K23" s="31"/>
    </row>
    <row r="24" spans="1:251" ht="31.2" customHeight="1">
      <c r="A24" s="89" t="s">
        <v>66</v>
      </c>
      <c r="B24" s="90"/>
      <c r="C24" s="90"/>
      <c r="D24" s="91"/>
      <c r="E24" s="23">
        <v>280</v>
      </c>
      <c r="F24" s="21">
        <f t="shared" ref="F24" si="5">E24*H24/$D$10</f>
        <v>28</v>
      </c>
      <c r="G24" s="13">
        <v>1200</v>
      </c>
      <c r="H24" s="24">
        <v>3</v>
      </c>
      <c r="I24" s="13">
        <f t="shared" ref="I24" si="6">H24*G24</f>
        <v>3600</v>
      </c>
      <c r="J24" s="29"/>
      <c r="K24" s="31"/>
    </row>
    <row r="25" spans="1:251" ht="15" customHeight="1">
      <c r="A25" s="65" t="s">
        <v>31</v>
      </c>
      <c r="B25" s="66"/>
      <c r="C25" s="66"/>
      <c r="D25" s="66"/>
      <c r="E25" s="66"/>
      <c r="F25" s="66"/>
      <c r="G25" s="66"/>
      <c r="H25" s="66"/>
      <c r="I25" s="66"/>
      <c r="J25" s="66"/>
      <c r="K25" s="31"/>
    </row>
    <row r="26" spans="1:251" ht="24.9" customHeight="1">
      <c r="A26" s="71" t="s">
        <v>22</v>
      </c>
      <c r="B26" s="72"/>
      <c r="C26" s="72"/>
      <c r="D26" s="72"/>
      <c r="E26" s="11" t="s">
        <v>23</v>
      </c>
      <c r="F26" s="11" t="s">
        <v>24</v>
      </c>
      <c r="G26" s="11" t="s">
        <v>25</v>
      </c>
      <c r="H26" s="11" t="s">
        <v>26</v>
      </c>
      <c r="I26" s="11" t="s">
        <v>27</v>
      </c>
      <c r="J26" s="11"/>
      <c r="K26" s="31"/>
    </row>
    <row r="27" spans="1:251" s="2" customFormat="1" ht="54.9" customHeight="1">
      <c r="A27" s="94" t="s">
        <v>61</v>
      </c>
      <c r="B27" s="95"/>
      <c r="C27" s="95"/>
      <c r="D27" s="95"/>
      <c r="E27" s="26">
        <v>50</v>
      </c>
      <c r="F27" s="21">
        <f t="shared" ref="F27:F28" si="7">E27*H27/$D$10</f>
        <v>25</v>
      </c>
      <c r="G27" s="13">
        <v>180</v>
      </c>
      <c r="H27" s="23">
        <v>15</v>
      </c>
      <c r="I27" s="13">
        <f t="shared" ref="I27:I28" si="8">G27*H27</f>
        <v>2700</v>
      </c>
      <c r="J27" s="29"/>
      <c r="K27" s="3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</row>
    <row r="28" spans="1:251" s="50" customFormat="1" ht="27" customHeight="1">
      <c r="A28" s="96" t="s">
        <v>60</v>
      </c>
      <c r="B28" s="97"/>
      <c r="C28" s="97"/>
      <c r="D28" s="97"/>
      <c r="E28" s="55">
        <v>33</v>
      </c>
      <c r="F28" s="47">
        <f t="shared" si="7"/>
        <v>16.5</v>
      </c>
      <c r="G28" s="53">
        <v>140</v>
      </c>
      <c r="H28" s="23">
        <v>15</v>
      </c>
      <c r="I28" s="53">
        <f t="shared" si="8"/>
        <v>2100</v>
      </c>
      <c r="J28" s="54"/>
      <c r="K28" s="48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</row>
    <row r="29" spans="1:251" ht="15" customHeight="1">
      <c r="A29" s="65" t="s">
        <v>32</v>
      </c>
      <c r="B29" s="66"/>
      <c r="C29" s="66"/>
      <c r="D29" s="66"/>
      <c r="E29" s="66"/>
      <c r="F29" s="66"/>
      <c r="G29" s="66"/>
      <c r="H29" s="66"/>
      <c r="I29" s="66"/>
      <c r="J29" s="66"/>
      <c r="K29" s="31"/>
    </row>
    <row r="30" spans="1:251" s="2" customFormat="1" ht="25.05" customHeight="1">
      <c r="A30" s="71" t="s">
        <v>22</v>
      </c>
      <c r="B30" s="72"/>
      <c r="C30" s="72"/>
      <c r="D30" s="72"/>
      <c r="E30" s="11" t="s">
        <v>23</v>
      </c>
      <c r="F30" s="11" t="s">
        <v>24</v>
      </c>
      <c r="G30" s="11" t="s">
        <v>25</v>
      </c>
      <c r="H30" s="11" t="s">
        <v>26</v>
      </c>
      <c r="I30" s="11" t="s">
        <v>27</v>
      </c>
      <c r="J30" s="11"/>
      <c r="K30" s="31"/>
      <c r="L30" s="5"/>
      <c r="M30" s="98"/>
      <c r="N30" s="98"/>
      <c r="O30" s="98"/>
      <c r="P30" s="98"/>
      <c r="Q30" s="5"/>
      <c r="R30" s="5"/>
      <c r="S30" s="5"/>
      <c r="T30" s="5"/>
      <c r="U30" s="5"/>
      <c r="V30" s="39"/>
      <c r="W30" s="34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</row>
    <row r="31" spans="1:251" s="50" customFormat="1" ht="24.9" customHeight="1">
      <c r="A31" s="127" t="s">
        <v>69</v>
      </c>
      <c r="B31" s="128"/>
      <c r="C31" s="128"/>
      <c r="D31" s="129"/>
      <c r="E31" s="132">
        <v>100</v>
      </c>
      <c r="F31" s="131">
        <f t="shared" ref="F31:F34" si="9">E31*H31/$D$10</f>
        <v>50</v>
      </c>
      <c r="G31" s="131">
        <v>150</v>
      </c>
      <c r="H31" s="133">
        <v>15</v>
      </c>
      <c r="I31" s="131">
        <f t="shared" ref="I31:I34" si="10">H31*G31</f>
        <v>2250</v>
      </c>
      <c r="J31" s="131"/>
      <c r="K31" s="48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</row>
    <row r="32" spans="1:251" s="50" customFormat="1" ht="25.05" customHeight="1">
      <c r="A32" s="134" t="s">
        <v>70</v>
      </c>
      <c r="B32" s="134"/>
      <c r="C32" s="134"/>
      <c r="D32" s="134"/>
      <c r="E32" s="133">
        <v>50</v>
      </c>
      <c r="F32" s="131">
        <f t="shared" si="9"/>
        <v>8.3333333333333339</v>
      </c>
      <c r="G32" s="131">
        <v>80</v>
      </c>
      <c r="H32" s="135">
        <v>5</v>
      </c>
      <c r="I32" s="131">
        <f t="shared" si="10"/>
        <v>400</v>
      </c>
      <c r="J32" s="131"/>
      <c r="K32" s="48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</row>
    <row r="33" spans="1:243" s="50" customFormat="1" ht="25.05" customHeight="1">
      <c r="A33" s="134" t="s">
        <v>71</v>
      </c>
      <c r="B33" s="134"/>
      <c r="C33" s="134"/>
      <c r="D33" s="134"/>
      <c r="E33" s="133">
        <v>50</v>
      </c>
      <c r="F33" s="131">
        <f t="shared" si="9"/>
        <v>8.3333333333333339</v>
      </c>
      <c r="G33" s="131">
        <v>80</v>
      </c>
      <c r="H33" s="135">
        <v>5</v>
      </c>
      <c r="I33" s="131">
        <f t="shared" si="10"/>
        <v>400</v>
      </c>
      <c r="J33" s="131"/>
      <c r="K33" s="4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</row>
    <row r="34" spans="1:243" s="50" customFormat="1" ht="24.6" customHeight="1">
      <c r="A34" s="127" t="s">
        <v>72</v>
      </c>
      <c r="B34" s="128"/>
      <c r="C34" s="128"/>
      <c r="D34" s="129"/>
      <c r="E34" s="130">
        <v>90</v>
      </c>
      <c r="F34" s="131">
        <f t="shared" si="9"/>
        <v>45</v>
      </c>
      <c r="G34" s="131">
        <v>130</v>
      </c>
      <c r="H34" s="130">
        <v>15</v>
      </c>
      <c r="I34" s="131">
        <f t="shared" si="10"/>
        <v>1950</v>
      </c>
      <c r="J34" s="131"/>
      <c r="K34" s="48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</row>
    <row r="35" spans="1:243" ht="15" customHeight="1">
      <c r="A35" s="77" t="s">
        <v>33</v>
      </c>
      <c r="B35" s="78"/>
      <c r="C35" s="78"/>
      <c r="D35" s="78"/>
      <c r="E35" s="78"/>
      <c r="F35" s="78"/>
      <c r="G35" s="78"/>
      <c r="H35" s="78"/>
      <c r="I35" s="78"/>
      <c r="J35" s="79"/>
      <c r="K35" s="31"/>
    </row>
    <row r="36" spans="1:243" ht="25.05" customHeight="1">
      <c r="A36" s="71" t="s">
        <v>22</v>
      </c>
      <c r="B36" s="72"/>
      <c r="C36" s="72"/>
      <c r="D36" s="72"/>
      <c r="E36" s="11" t="s">
        <v>23</v>
      </c>
      <c r="F36" s="11" t="s">
        <v>24</v>
      </c>
      <c r="G36" s="11" t="s">
        <v>25</v>
      </c>
      <c r="H36" s="11" t="s">
        <v>26</v>
      </c>
      <c r="I36" s="11" t="s">
        <v>27</v>
      </c>
      <c r="J36" s="11"/>
      <c r="K36" s="31"/>
    </row>
    <row r="37" spans="1:243" ht="15" customHeight="1">
      <c r="A37" s="80" t="s">
        <v>34</v>
      </c>
      <c r="B37" s="81"/>
      <c r="C37" s="81"/>
      <c r="D37" s="81"/>
      <c r="E37" s="81"/>
      <c r="F37" s="81"/>
      <c r="G37" s="81"/>
      <c r="H37" s="81"/>
      <c r="I37" s="81"/>
      <c r="J37" s="82"/>
      <c r="K37" s="31"/>
    </row>
    <row r="38" spans="1:243" ht="25.05" customHeight="1">
      <c r="A38" s="99" t="s">
        <v>35</v>
      </c>
      <c r="B38" s="99"/>
      <c r="C38" s="99"/>
      <c r="D38" s="99"/>
      <c r="E38" s="24">
        <v>40</v>
      </c>
      <c r="F38" s="21">
        <f t="shared" ref="F38:F40" si="11">E38*H38/$D$10</f>
        <v>20</v>
      </c>
      <c r="G38" s="13">
        <v>110</v>
      </c>
      <c r="H38" s="24">
        <v>15</v>
      </c>
      <c r="I38" s="13">
        <f>G38*H38</f>
        <v>1650</v>
      </c>
      <c r="J38" s="29"/>
      <c r="K38" s="31"/>
    </row>
    <row r="39" spans="1:243" ht="25.05" customHeight="1">
      <c r="A39" s="99" t="s">
        <v>36</v>
      </c>
      <c r="B39" s="99"/>
      <c r="C39" s="99"/>
      <c r="D39" s="99"/>
      <c r="E39" s="24">
        <v>40</v>
      </c>
      <c r="F39" s="21">
        <f t="shared" si="11"/>
        <v>20</v>
      </c>
      <c r="G39" s="13">
        <v>110</v>
      </c>
      <c r="H39" s="24">
        <v>15</v>
      </c>
      <c r="I39" s="13">
        <f t="shared" ref="I39:I40" si="12">G39*H39</f>
        <v>1650</v>
      </c>
      <c r="J39" s="29"/>
      <c r="K39" s="31"/>
      <c r="L39" s="34"/>
    </row>
    <row r="40" spans="1:243" s="3" customFormat="1" ht="25.05" customHeight="1">
      <c r="A40" s="83" t="s">
        <v>37</v>
      </c>
      <c r="B40" s="84"/>
      <c r="C40" s="84"/>
      <c r="D40" s="85"/>
      <c r="E40" s="22">
        <v>40</v>
      </c>
      <c r="F40" s="21">
        <f t="shared" si="11"/>
        <v>20</v>
      </c>
      <c r="G40" s="21">
        <v>110</v>
      </c>
      <c r="H40" s="24">
        <v>15</v>
      </c>
      <c r="I40" s="21">
        <f t="shared" si="12"/>
        <v>1650</v>
      </c>
      <c r="J40" s="2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</row>
    <row r="41" spans="1:243" ht="15" customHeight="1">
      <c r="A41" s="65" t="s">
        <v>38</v>
      </c>
      <c r="B41" s="66"/>
      <c r="C41" s="66"/>
      <c r="D41" s="66"/>
      <c r="E41" s="66"/>
      <c r="F41" s="66"/>
      <c r="G41" s="66"/>
      <c r="H41" s="66"/>
      <c r="I41" s="66"/>
      <c r="J41" s="66"/>
      <c r="K41" s="31"/>
    </row>
    <row r="42" spans="1:243" ht="25.05" customHeight="1">
      <c r="A42" s="71" t="s">
        <v>22</v>
      </c>
      <c r="B42" s="72"/>
      <c r="C42" s="72"/>
      <c r="D42" s="72"/>
      <c r="E42" s="11" t="s">
        <v>23</v>
      </c>
      <c r="F42" s="11" t="s">
        <v>24</v>
      </c>
      <c r="G42" s="11" t="s">
        <v>25</v>
      </c>
      <c r="H42" s="11" t="s">
        <v>26</v>
      </c>
      <c r="I42" s="11" t="s">
        <v>27</v>
      </c>
      <c r="J42" s="11"/>
      <c r="K42" s="31"/>
    </row>
    <row r="43" spans="1:243" ht="39.9" customHeight="1">
      <c r="A43" s="83" t="s">
        <v>39</v>
      </c>
      <c r="B43" s="84"/>
      <c r="C43" s="84"/>
      <c r="D43" s="85"/>
      <c r="E43" s="20">
        <v>19</v>
      </c>
      <c r="F43" s="21">
        <f t="shared" ref="F43:F45" si="13">E43*H43/$D$10</f>
        <v>9.5</v>
      </c>
      <c r="G43" s="20">
        <v>70</v>
      </c>
      <c r="H43" s="20">
        <v>15</v>
      </c>
      <c r="I43" s="20">
        <f t="shared" ref="I43:I45" si="14">H43*G43</f>
        <v>1050</v>
      </c>
      <c r="J43" s="35"/>
      <c r="K43" s="31"/>
    </row>
    <row r="44" spans="1:243" ht="25.05" customHeight="1">
      <c r="A44" s="100" t="s">
        <v>40</v>
      </c>
      <c r="B44" s="101"/>
      <c r="C44" s="101"/>
      <c r="D44" s="102"/>
      <c r="E44" s="28">
        <v>15</v>
      </c>
      <c r="F44" s="21">
        <f t="shared" si="13"/>
        <v>7.5</v>
      </c>
      <c r="G44" s="13">
        <v>80</v>
      </c>
      <c r="H44" s="20">
        <v>15</v>
      </c>
      <c r="I44" s="20">
        <f t="shared" si="14"/>
        <v>1200</v>
      </c>
      <c r="J44" s="29"/>
      <c r="K44" s="31"/>
    </row>
    <row r="45" spans="1:243" s="4" customFormat="1" ht="39.9" customHeight="1">
      <c r="A45" s="103" t="s">
        <v>41</v>
      </c>
      <c r="B45" s="104"/>
      <c r="C45" s="104"/>
      <c r="D45" s="104"/>
      <c r="E45" s="28">
        <v>12</v>
      </c>
      <c r="F45" s="21">
        <f t="shared" si="13"/>
        <v>8</v>
      </c>
      <c r="G45" s="29">
        <v>110</v>
      </c>
      <c r="H45" s="20">
        <v>20</v>
      </c>
      <c r="I45" s="26">
        <f t="shared" si="14"/>
        <v>2200</v>
      </c>
      <c r="J45" s="29"/>
      <c r="K45" s="31"/>
      <c r="L45" s="36"/>
      <c r="M45" s="36"/>
      <c r="N45" s="36"/>
      <c r="O45" s="36"/>
      <c r="P45" s="36"/>
      <c r="Q45" s="37"/>
      <c r="R45" s="37"/>
      <c r="S45" s="37"/>
      <c r="T45" s="37"/>
      <c r="U45" s="37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</row>
    <row r="46" spans="1:243" ht="15" customHeight="1">
      <c r="A46" s="77" t="s">
        <v>42</v>
      </c>
      <c r="B46" s="78"/>
      <c r="C46" s="78"/>
      <c r="D46" s="78"/>
      <c r="E46" s="78"/>
      <c r="F46" s="78"/>
      <c r="G46" s="78"/>
      <c r="H46" s="78"/>
      <c r="I46" s="78"/>
      <c r="J46" s="79"/>
    </row>
    <row r="47" spans="1:243" ht="25.05" customHeight="1">
      <c r="A47" s="89" t="s">
        <v>44</v>
      </c>
      <c r="B47" s="90"/>
      <c r="C47" s="90"/>
      <c r="D47" s="91"/>
      <c r="E47" s="27">
        <v>100</v>
      </c>
      <c r="F47" s="21">
        <f>E47*H47/$D$10</f>
        <v>16.666666666666668</v>
      </c>
      <c r="G47" s="27">
        <v>800</v>
      </c>
      <c r="H47" s="30">
        <v>5</v>
      </c>
      <c r="I47" s="38">
        <f t="shared" ref="I47:I49" si="15">G47*H47</f>
        <v>4000</v>
      </c>
      <c r="J47" s="25"/>
    </row>
    <row r="48" spans="1:243" ht="25.05" customHeight="1">
      <c r="A48" s="105" t="s">
        <v>64</v>
      </c>
      <c r="B48" s="106"/>
      <c r="C48" s="106"/>
      <c r="D48" s="106"/>
      <c r="E48" s="27">
        <v>100</v>
      </c>
      <c r="F48" s="21">
        <f>E48*H48/$D$10</f>
        <v>50</v>
      </c>
      <c r="G48" s="27">
        <v>150</v>
      </c>
      <c r="H48" s="30">
        <v>15</v>
      </c>
      <c r="I48" s="38">
        <f t="shared" si="15"/>
        <v>2250</v>
      </c>
      <c r="J48" s="25"/>
    </row>
    <row r="49" spans="1:243" ht="25.05" customHeight="1">
      <c r="A49" s="107" t="s">
        <v>65</v>
      </c>
      <c r="B49" s="108"/>
      <c r="C49" s="108"/>
      <c r="D49" s="109"/>
      <c r="E49" s="27">
        <v>100</v>
      </c>
      <c r="F49" s="21">
        <f>E49*H49/$D$10</f>
        <v>50</v>
      </c>
      <c r="G49" s="27">
        <v>150</v>
      </c>
      <c r="H49" s="30">
        <v>15</v>
      </c>
      <c r="I49" s="38">
        <f t="shared" si="15"/>
        <v>2250</v>
      </c>
      <c r="J49" s="25"/>
    </row>
    <row r="50" spans="1:243" ht="25.05" customHeight="1">
      <c r="A50" s="94" t="s">
        <v>43</v>
      </c>
      <c r="B50" s="95"/>
      <c r="C50" s="95"/>
      <c r="D50" s="95"/>
      <c r="E50" s="27">
        <v>1000</v>
      </c>
      <c r="F50" s="21">
        <f t="shared" ref="F50" si="16">E50*H50/$D$10</f>
        <v>233.33333333333334</v>
      </c>
      <c r="G50" s="27">
        <v>320</v>
      </c>
      <c r="H50" s="30">
        <v>7</v>
      </c>
      <c r="I50" s="38">
        <f>G50*H50</f>
        <v>2240</v>
      </c>
      <c r="J50" s="25"/>
    </row>
    <row r="51" spans="1:243" ht="15" customHeight="1">
      <c r="A51" s="110" t="s">
        <v>45</v>
      </c>
      <c r="B51" s="111"/>
      <c r="C51" s="111"/>
      <c r="D51" s="111"/>
      <c r="E51" s="111"/>
      <c r="F51" s="111"/>
      <c r="G51" s="111"/>
      <c r="H51" s="111"/>
      <c r="I51" s="111"/>
      <c r="J51" s="40">
        <f>SUM(I13:I50)</f>
        <v>44740</v>
      </c>
    </row>
    <row r="52" spans="1:243" ht="24.9" customHeight="1">
      <c r="A52" s="112" t="s">
        <v>46</v>
      </c>
      <c r="B52" s="113"/>
      <c r="C52" s="113"/>
      <c r="D52" s="113"/>
      <c r="E52" s="113"/>
      <c r="F52" s="113"/>
      <c r="G52" s="113"/>
      <c r="H52" s="113"/>
      <c r="I52" s="113"/>
      <c r="J52" s="41">
        <f>SUM(F13:F49)</f>
        <v>468.83333333333337</v>
      </c>
    </row>
    <row r="53" spans="1:243" ht="15" customHeight="1">
      <c r="A53" s="65" t="s">
        <v>47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243" ht="25.05" customHeight="1">
      <c r="A54" s="71" t="s">
        <v>22</v>
      </c>
      <c r="B54" s="72"/>
      <c r="C54" s="72"/>
      <c r="D54" s="72"/>
      <c r="E54" s="11" t="s">
        <v>23</v>
      </c>
      <c r="F54" s="11" t="s">
        <v>24</v>
      </c>
      <c r="G54" s="11" t="s">
        <v>25</v>
      </c>
      <c r="H54" s="11" t="s">
        <v>26</v>
      </c>
      <c r="I54" s="11" t="s">
        <v>27</v>
      </c>
      <c r="J54" s="11"/>
    </row>
    <row r="55" spans="1:243" s="50" customFormat="1" ht="25.05" customHeight="1">
      <c r="A55" s="57" t="s">
        <v>68</v>
      </c>
      <c r="B55" s="58"/>
      <c r="C55" s="58"/>
      <c r="D55" s="59"/>
      <c r="E55" s="56">
        <v>1000</v>
      </c>
      <c r="F55" s="53"/>
      <c r="G55" s="56">
        <v>650</v>
      </c>
      <c r="H55" s="56">
        <v>5</v>
      </c>
      <c r="I55" s="53">
        <f t="shared" ref="I55" si="17">G55*H55</f>
        <v>3250</v>
      </c>
      <c r="J55" s="54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</row>
    <row r="56" spans="1:243" ht="25.05" customHeight="1">
      <c r="A56" s="114" t="s">
        <v>48</v>
      </c>
      <c r="B56" s="115"/>
      <c r="C56" s="115"/>
      <c r="D56" s="116"/>
      <c r="E56" s="28">
        <v>500</v>
      </c>
      <c r="F56" s="13"/>
      <c r="G56" s="28">
        <v>300</v>
      </c>
      <c r="H56" s="28">
        <v>15</v>
      </c>
      <c r="I56" s="13">
        <f t="shared" ref="I56:I58" si="18">G56*H56</f>
        <v>4500</v>
      </c>
      <c r="J56" s="29"/>
    </row>
    <row r="57" spans="1:243" s="50" customFormat="1" ht="25.05" customHeight="1">
      <c r="A57" s="120" t="s">
        <v>67</v>
      </c>
      <c r="B57" s="121"/>
      <c r="C57" s="121"/>
      <c r="D57" s="121"/>
      <c r="E57" s="56">
        <v>400</v>
      </c>
      <c r="F57" s="53"/>
      <c r="G57" s="56">
        <v>140</v>
      </c>
      <c r="H57" s="56">
        <v>5</v>
      </c>
      <c r="I57" s="53">
        <f t="shared" si="18"/>
        <v>700</v>
      </c>
      <c r="J57" s="54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</row>
    <row r="58" spans="1:243" ht="25.05" customHeight="1">
      <c r="A58" s="117" t="s">
        <v>49</v>
      </c>
      <c r="B58" s="118"/>
      <c r="C58" s="118"/>
      <c r="D58" s="119"/>
      <c r="E58" s="28">
        <v>150</v>
      </c>
      <c r="F58" s="13"/>
      <c r="G58" s="28">
        <v>170</v>
      </c>
      <c r="H58" s="28">
        <v>20</v>
      </c>
      <c r="I58" s="13">
        <f t="shared" si="18"/>
        <v>3400</v>
      </c>
      <c r="J58" s="29"/>
    </row>
    <row r="59" spans="1:243" ht="25.05" customHeight="1">
      <c r="A59" s="94" t="s">
        <v>50</v>
      </c>
      <c r="B59" s="95"/>
      <c r="C59" s="95"/>
      <c r="D59" s="95"/>
      <c r="E59" s="27" t="s">
        <v>51</v>
      </c>
      <c r="F59" s="13"/>
      <c r="G59" s="27">
        <v>100</v>
      </c>
      <c r="H59" s="30">
        <v>10</v>
      </c>
      <c r="I59" s="38">
        <f t="shared" ref="I59" si="19">G59*H59</f>
        <v>1000</v>
      </c>
      <c r="J59" s="25"/>
    </row>
    <row r="60" spans="1:243" ht="15" customHeight="1">
      <c r="A60" s="110" t="s">
        <v>52</v>
      </c>
      <c r="B60" s="111"/>
      <c r="C60" s="111"/>
      <c r="D60" s="111"/>
      <c r="E60" s="111"/>
      <c r="F60" s="111"/>
      <c r="G60" s="111"/>
      <c r="H60" s="111"/>
      <c r="I60" s="111"/>
      <c r="J60" s="42">
        <f>SUM(I55:I59)</f>
        <v>12850</v>
      </c>
    </row>
    <row r="61" spans="1:243" ht="15" customHeight="1">
      <c r="A61" s="110" t="s">
        <v>53</v>
      </c>
      <c r="B61" s="111"/>
      <c r="C61" s="111"/>
      <c r="D61" s="111"/>
      <c r="E61" s="111"/>
      <c r="F61" s="111"/>
      <c r="G61" s="111"/>
      <c r="H61" s="111"/>
      <c r="I61" s="111"/>
      <c r="J61" s="42">
        <f>SUM(J51,J60)</f>
        <v>57590</v>
      </c>
    </row>
    <row r="62" spans="1:243" ht="15" customHeight="1">
      <c r="A62" s="112" t="s">
        <v>54</v>
      </c>
      <c r="B62" s="113"/>
      <c r="C62" s="113"/>
      <c r="D62" s="113"/>
      <c r="E62" s="113"/>
      <c r="F62" s="113"/>
      <c r="G62" s="113"/>
      <c r="H62" s="113"/>
      <c r="I62" s="113"/>
      <c r="J62" s="43">
        <f>J61/D10</f>
        <v>1919.6666666666667</v>
      </c>
    </row>
    <row r="63" spans="1:243" ht="15" customHeight="1">
      <c r="A63" s="122" t="s">
        <v>55</v>
      </c>
      <c r="B63" s="123"/>
      <c r="C63" s="123"/>
      <c r="D63" s="123"/>
      <c r="E63" s="123"/>
      <c r="F63" s="123"/>
      <c r="G63" s="123"/>
      <c r="H63" s="123"/>
      <c r="I63" s="124"/>
      <c r="J63" s="42">
        <v>54000</v>
      </c>
    </row>
    <row r="64" spans="1:243" ht="15" customHeight="1">
      <c r="A64" s="125" t="s">
        <v>56</v>
      </c>
      <c r="B64" s="126"/>
      <c r="C64" s="126"/>
      <c r="D64" s="126"/>
      <c r="E64" s="126"/>
      <c r="F64" s="126"/>
      <c r="G64" s="126"/>
      <c r="H64" s="126"/>
      <c r="I64" s="126"/>
      <c r="J64" s="44">
        <f>J63+J61</f>
        <v>111590</v>
      </c>
      <c r="K64" s="52"/>
      <c r="L64" s="52"/>
    </row>
    <row r="65" spans="1:10" ht="15" customHeight="1">
      <c r="A65" s="112" t="s">
        <v>57</v>
      </c>
      <c r="B65" s="113"/>
      <c r="C65" s="113"/>
      <c r="D65" s="113"/>
      <c r="E65" s="113"/>
      <c r="F65" s="113"/>
      <c r="G65" s="113"/>
      <c r="H65" s="113"/>
      <c r="I65" s="113"/>
      <c r="J65" s="45">
        <f>J64/$D$10</f>
        <v>3719.6666666666665</v>
      </c>
    </row>
  </sheetData>
  <mergeCells count="80">
    <mergeCell ref="A62:I62"/>
    <mergeCell ref="A63:I63"/>
    <mergeCell ref="A64:I64"/>
    <mergeCell ref="A65:I65"/>
    <mergeCell ref="A31:D31"/>
    <mergeCell ref="A32:D32"/>
    <mergeCell ref="A33:D33"/>
    <mergeCell ref="A58:D58"/>
    <mergeCell ref="A59:D59"/>
    <mergeCell ref="A60:I60"/>
    <mergeCell ref="A57:D57"/>
    <mergeCell ref="A61:I61"/>
    <mergeCell ref="A51:I51"/>
    <mergeCell ref="A52:I52"/>
    <mergeCell ref="A53:J53"/>
    <mergeCell ref="A54:D54"/>
    <mergeCell ref="A56:D56"/>
    <mergeCell ref="A44:D44"/>
    <mergeCell ref="A45:D45"/>
    <mergeCell ref="A46:J46"/>
    <mergeCell ref="A50:D50"/>
    <mergeCell ref="A47:D47"/>
    <mergeCell ref="A48:D48"/>
    <mergeCell ref="A49:D49"/>
    <mergeCell ref="A39:D39"/>
    <mergeCell ref="A40:D40"/>
    <mergeCell ref="A41:J41"/>
    <mergeCell ref="A42:D42"/>
    <mergeCell ref="A43:D43"/>
    <mergeCell ref="A34:D34"/>
    <mergeCell ref="A35:J35"/>
    <mergeCell ref="A36:D36"/>
    <mergeCell ref="A37:J37"/>
    <mergeCell ref="A38:D38"/>
    <mergeCell ref="A30:D30"/>
    <mergeCell ref="M30:P30"/>
    <mergeCell ref="A25:J25"/>
    <mergeCell ref="A26:D26"/>
    <mergeCell ref="A27:D27"/>
    <mergeCell ref="A29:J29"/>
    <mergeCell ref="A28:D28"/>
    <mergeCell ref="A22:J22"/>
    <mergeCell ref="A23:D23"/>
    <mergeCell ref="A24:D24"/>
    <mergeCell ref="A19:D19"/>
    <mergeCell ref="A20:D20"/>
    <mergeCell ref="A21:D21"/>
    <mergeCell ref="A13:J13"/>
    <mergeCell ref="A14:D14"/>
    <mergeCell ref="A15:D15"/>
    <mergeCell ref="A16:D16"/>
    <mergeCell ref="A18:D18"/>
    <mergeCell ref="A17:D17"/>
    <mergeCell ref="A11:D11"/>
    <mergeCell ref="E11:H11"/>
    <mergeCell ref="I11:J11"/>
    <mergeCell ref="A12:D12"/>
    <mergeCell ref="E12:H12"/>
    <mergeCell ref="I12:J12"/>
    <mergeCell ref="G9:H9"/>
    <mergeCell ref="I9:J9"/>
    <mergeCell ref="B10:C10"/>
    <mergeCell ref="G10:H10"/>
    <mergeCell ref="I10:J10"/>
    <mergeCell ref="A55:D55"/>
    <mergeCell ref="A1:C1"/>
    <mergeCell ref="E1:J1"/>
    <mergeCell ref="A2:C2"/>
    <mergeCell ref="I2:J2"/>
    <mergeCell ref="A3:C3"/>
    <mergeCell ref="I3:J4"/>
    <mergeCell ref="A5:J5"/>
    <mergeCell ref="F6:H6"/>
    <mergeCell ref="A8:C8"/>
    <mergeCell ref="D8:E8"/>
    <mergeCell ref="I8:J8"/>
    <mergeCell ref="D6:E7"/>
    <mergeCell ref="I6:J7"/>
    <mergeCell ref="A6:C7"/>
    <mergeCell ref="B9:C9"/>
  </mergeCells>
  <pageMargins left="0.25" right="0.25" top="0.75" bottom="0.75" header="0.3" footer="0.3"/>
  <pageSetup paperSize="9" orientation="portrait"/>
  <headerFooter>
    <oddFooter>&amp;L&amp;"Helvetica,Regular"&amp;11&amp;K000000	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Белокуров Александр</cp:lastModifiedBy>
  <cp:lastPrinted>2025-01-21T12:40:00Z</cp:lastPrinted>
  <dcterms:created xsi:type="dcterms:W3CDTF">2015-08-21T15:05:00Z</dcterms:created>
  <dcterms:modified xsi:type="dcterms:W3CDTF">2026-05-13T12:09:38Z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1049-12.2.0.23196</vt:lpwstr>
  </property>
</Properties>
</file>