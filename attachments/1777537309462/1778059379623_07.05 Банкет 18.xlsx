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\\ad.yarvolga.ru\files\Office work\Банкетный менеджер\2026\Кейтеринг\03 Неутвержденные\05 Май\07.05 Прокуратура\"/>
    </mc:Choice>
  </mc:AlternateContent>
  <xr:revisionPtr revIDLastSave="0" documentId="13_ncr:1_{6460CE54-8174-4681-BF74-FFC94C9936C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0" i="1" l="1"/>
  <c r="F20" i="1"/>
  <c r="I15" i="1" l="1"/>
  <c r="F15" i="1"/>
  <c r="I19" i="1"/>
  <c r="F19" i="1"/>
  <c r="I40" i="1" l="1"/>
  <c r="F40" i="1"/>
  <c r="I39" i="1"/>
  <c r="F39" i="1"/>
  <c r="I38" i="1"/>
  <c r="F38" i="1"/>
  <c r="I37" i="1"/>
  <c r="F37" i="1"/>
  <c r="I47" i="1"/>
  <c r="I34" i="1"/>
  <c r="F34" i="1"/>
  <c r="I21" i="1"/>
  <c r="F21" i="1"/>
  <c r="J48" i="1" l="1"/>
  <c r="I30" i="1"/>
  <c r="F30" i="1"/>
  <c r="F26" i="1"/>
  <c r="I18" i="1"/>
  <c r="F18" i="1"/>
  <c r="I42" i="1" l="1"/>
  <c r="F42" i="1"/>
  <c r="I33" i="1"/>
  <c r="F33" i="1"/>
  <c r="I32" i="1"/>
  <c r="F32" i="1"/>
  <c r="I31" i="1"/>
  <c r="F31" i="1"/>
  <c r="I26" i="1"/>
  <c r="I25" i="1"/>
  <c r="F25" i="1"/>
  <c r="I22" i="1"/>
  <c r="F22" i="1"/>
  <c r="I17" i="1"/>
  <c r="F17" i="1"/>
  <c r="I16" i="1"/>
  <c r="F16" i="1"/>
  <c r="J43" i="1" l="1"/>
  <c r="J49" i="1" s="1"/>
  <c r="J44" i="1"/>
  <c r="J52" i="1" l="1"/>
  <c r="J53" i="1" s="1"/>
  <c r="J50" i="1"/>
</calcChain>
</file>

<file path=xl/sharedStrings.xml><?xml version="1.0" encoding="utf-8"?>
<sst xmlns="http://schemas.openxmlformats.org/spreadsheetml/2006/main" count="89" uniqueCount="64">
  <si>
    <t>Кейтеринг- меню 2025</t>
  </si>
  <si>
    <t>Менеджер службы кейтеринга</t>
  </si>
  <si>
    <t>Мероприятие</t>
  </si>
  <si>
    <t xml:space="preserve">Тайминг </t>
  </si>
  <si>
    <t>Выбранный зал</t>
  </si>
  <si>
    <t xml:space="preserve">Сбор гостей </t>
  </si>
  <si>
    <t>Начало</t>
  </si>
  <si>
    <t>Окон чание</t>
  </si>
  <si>
    <t>Дата проведения</t>
  </si>
  <si>
    <t xml:space="preserve">Рассадка </t>
  </si>
  <si>
    <t xml:space="preserve">Кол-во </t>
  </si>
  <si>
    <t>Аванс</t>
  </si>
  <si>
    <t>Дата внесения</t>
  </si>
  <si>
    <t>Форма оплаты</t>
  </si>
  <si>
    <t>Контактный телефон</t>
  </si>
  <si>
    <t>ФИО заказчика/ наименование организации</t>
  </si>
  <si>
    <t>E-mail</t>
  </si>
  <si>
    <t xml:space="preserve">Примечания </t>
  </si>
  <si>
    <t>Наименование</t>
  </si>
  <si>
    <t>Выход /гр</t>
  </si>
  <si>
    <t>Грамм /чел</t>
  </si>
  <si>
    <t>Цена</t>
  </si>
  <si>
    <t>Кол-во</t>
  </si>
  <si>
    <t>Сумма</t>
  </si>
  <si>
    <t>Рафаэлло /Нежный паштет из цыпленка, огурцов и сыра "Рикотта" и "Грана Падано"/</t>
  </si>
  <si>
    <t>Мясная закуска из ростбифа, телячьего языка и кремом из сыра Филадельфия</t>
  </si>
  <si>
    <t>Салаты</t>
  </si>
  <si>
    <t>Выпечка, бутерброды</t>
  </si>
  <si>
    <t>Мини-пирожки</t>
  </si>
  <si>
    <t>Пирожок с мясом</t>
  </si>
  <si>
    <t>Пирожок с копченым сомом и щукой</t>
  </si>
  <si>
    <t>Пирожок ржаной с грибами</t>
  </si>
  <si>
    <t>Итого кухня</t>
  </si>
  <si>
    <t>Итого грамм на персону без напитков</t>
  </si>
  <si>
    <t>Рулет из свинины с тартаром из груздей</t>
  </si>
  <si>
    <t>Хлебная корзина ВН</t>
  </si>
  <si>
    <t>Холодные закуски</t>
  </si>
  <si>
    <t>Напитки</t>
  </si>
  <si>
    <t>Профитроли с масленной рыбой и икрой тобико</t>
  </si>
  <si>
    <t>Пирожок ржаной с солеными огурцами</t>
  </si>
  <si>
    <t xml:space="preserve">Безалкогольные напитки </t>
  </si>
  <si>
    <t>Кофе "Капуччино</t>
  </si>
  <si>
    <t xml:space="preserve">Итого бар </t>
  </si>
  <si>
    <t>Итого кухня + бар</t>
  </si>
  <si>
    <t>Итого кухня + бар на персону</t>
  </si>
  <si>
    <t>Аренда, услуги, логистика</t>
  </si>
  <si>
    <t>Итого по всем разделам на персону</t>
  </si>
  <si>
    <t>Десерт</t>
  </si>
  <si>
    <t>Ассорти конфет /белый шоколад с горганзолой, молочный шоколад с ореховым пралине, молочный шоколад с яблоком и корицей /</t>
  </si>
  <si>
    <t>Ассорти бон-бон /лимон, мохито, вишня, малина, манго-маракуйя, маракуйя и молочный шоколад/</t>
  </si>
  <si>
    <t>Десерт "Медовик карамельный"</t>
  </si>
  <si>
    <t>Десерт "Пражский"</t>
  </si>
  <si>
    <t xml:space="preserve">Наполеон с курицей </t>
  </si>
  <si>
    <r>
      <t xml:space="preserve">Салат с обжаренным тунцом в кунжуте </t>
    </r>
    <r>
      <rPr>
        <sz val="10"/>
        <color rgb="FF000000"/>
        <rFont val="Calibri"/>
        <family val="2"/>
        <charset val="204"/>
      </rPr>
      <t>ананасом, виноградом, шпинатом, 
романо и соусом из кешью и кинзы</t>
    </r>
  </si>
  <si>
    <t>Прокуратура</t>
  </si>
  <si>
    <t>Михаил</t>
  </si>
  <si>
    <t>Банкет</t>
  </si>
  <si>
    <t>Рулетики из семги с сыром Филадельфия</t>
  </si>
  <si>
    <t>Сырное плато  монфлер, брилья, грюйер, раклет с вареньем из брусники и фундуком</t>
  </si>
  <si>
    <r>
      <t xml:space="preserve">"Виндерзорф" </t>
    </r>
    <r>
      <rPr>
        <sz val="10"/>
        <color rgb="FF000000"/>
        <rFont val="Calibri"/>
        <family val="2"/>
        <charset val="204"/>
      </rPr>
      <t>с сочной телятиной, ветчиной, болгарским перцем, маринованным огурцом, томатно -  горчичной заправкой.</t>
    </r>
  </si>
  <si>
    <t>Морс</t>
  </si>
  <si>
    <t>в разнос</t>
  </si>
  <si>
    <t>ИТОГО ПО ВСЕМ РАЗДЕЛАМ С УЧЕТОМ СКИДКИ</t>
  </si>
  <si>
    <t>Форшмак волжский из судака на черном хлебе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</si>
</sst>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:mm;@"/>
    <numFmt numFmtId="165" formatCode="dd\.mm\.yyyy"/>
    <numFmt numFmtId="166" formatCode="#\ ##0&quot; р.&quot;"/>
    <numFmt numFmtId="167" formatCode="#\ ##0\ &quot;₽&quot;"/>
  </numFmts>
  <fonts count="14">
    <font>
      <sz val="12"/>
      <color indexed="8"/>
      <name val="Verdana"/>
      <charset val="134"/>
    </font>
    <font>
      <sz val="10"/>
      <color indexed="8"/>
      <name val="Verdana"/>
      <family val="2"/>
      <charset val="204"/>
    </font>
    <font>
      <sz val="10"/>
      <color indexed="8"/>
      <name val="Calibri"/>
      <family val="2"/>
      <charset val="204"/>
    </font>
    <font>
      <sz val="10"/>
      <color theme="0" tint="-4.9989318521683403E-2"/>
      <name val="Calibri"/>
      <family val="2"/>
      <charset val="204"/>
    </font>
    <font>
      <b/>
      <sz val="12"/>
      <color indexed="8"/>
      <name val="Calibri"/>
      <family val="2"/>
      <charset val="204"/>
    </font>
    <font>
      <b/>
      <sz val="10"/>
      <color indexed="8"/>
      <name val="Calibri"/>
      <family val="2"/>
      <charset val="204"/>
    </font>
    <font>
      <b/>
      <sz val="5"/>
      <color indexed="8"/>
      <name val="Calibri"/>
      <family val="2"/>
      <charset val="204"/>
    </font>
    <font>
      <b/>
      <sz val="9"/>
      <color indexed="8"/>
      <name val="Calibri"/>
      <family val="2"/>
      <charset val="204"/>
    </font>
    <font>
      <u/>
      <sz val="10"/>
      <color indexed="11"/>
      <name val="Calibri"/>
      <family val="2"/>
      <charset val="204"/>
    </font>
    <font>
      <sz val="12"/>
      <color indexed="8"/>
      <name val="Verdana"/>
      <family val="2"/>
      <charset val="204"/>
    </font>
    <font>
      <b/>
      <sz val="10"/>
      <color indexed="8"/>
      <name val="Calibri"/>
      <family val="2"/>
      <charset val="204"/>
    </font>
    <font>
      <sz val="10"/>
      <color indexed="8"/>
      <name val="Calibri"/>
      <family val="2"/>
      <charset val="204"/>
    </font>
    <font>
      <sz val="10"/>
      <color rgb="FF000000"/>
      <name val="Calibri"/>
      <family val="2"/>
      <charset val="204"/>
    </font>
    <font>
      <sz val="1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CD2"/>
        <bgColor indexed="64"/>
      </patternFill>
    </fill>
    <fill>
      <patternFill patternType="solid">
        <fgColor indexed="1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 applyNumberFormat="0" applyFill="0" applyBorder="0" applyProtection="0">
      <alignment vertical="top" wrapText="1"/>
    </xf>
    <xf numFmtId="0" fontId="9" fillId="0" borderId="0" applyNumberFormat="0" applyFill="0" applyBorder="0" applyProtection="0">
      <alignment vertical="top" wrapText="1"/>
    </xf>
    <xf numFmtId="0" fontId="9" fillId="0" borderId="0" applyNumberFormat="0" applyFill="0" applyBorder="0" applyProtection="0">
      <alignment vertical="top" wrapText="1"/>
    </xf>
  </cellStyleXfs>
  <cellXfs count="117">
    <xf numFmtId="0" fontId="0" fillId="0" borderId="0" xfId="0" applyFont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NumberFormat="1" applyFont="1" applyAlignment="1"/>
    <xf numFmtId="0" fontId="1" fillId="0" borderId="0" xfId="0" applyFont="1" applyAlignment="1">
      <alignment vertical="top" wrapText="1"/>
    </xf>
    <xf numFmtId="0" fontId="2" fillId="0" borderId="0" xfId="0" applyFont="1" applyBorder="1" applyAlignment="1">
      <alignment vertical="center" wrapText="1"/>
    </xf>
    <xf numFmtId="1" fontId="2" fillId="0" borderId="0" xfId="0" applyNumberFormat="1" applyFont="1" applyBorder="1" applyAlignment="1">
      <alignment horizontal="right" vertical="center" wrapText="1"/>
    </xf>
    <xf numFmtId="0" fontId="2" fillId="0" borderId="0" xfId="0" applyNumberFormat="1" applyFont="1" applyBorder="1" applyAlignment="1">
      <alignment vertical="center" wrapText="1"/>
    </xf>
    <xf numFmtId="1" fontId="2" fillId="0" borderId="0" xfId="0" applyNumberFormat="1" applyFont="1" applyBorder="1" applyAlignment="1">
      <alignment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Alignment="1"/>
    <xf numFmtId="0" fontId="2" fillId="2" borderId="0" xfId="0" applyNumberFormat="1" applyFont="1" applyFill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/>
    </xf>
    <xf numFmtId="1" fontId="2" fillId="2" borderId="0" xfId="0" applyNumberFormat="1" applyFont="1" applyFill="1" applyBorder="1" applyAlignment="1">
      <alignment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0" fontId="2" fillId="4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>
      <alignment vertical="top" wrapText="1"/>
    </xf>
    <xf numFmtId="1" fontId="2" fillId="0" borderId="1" xfId="0" applyNumberFormat="1" applyFont="1" applyBorder="1" applyAlignment="1">
      <alignment horizontal="center" vertical="center" wrapText="1"/>
    </xf>
    <xf numFmtId="2" fontId="2" fillId="2" borderId="0" xfId="0" applyNumberFormat="1" applyFont="1" applyFill="1" applyAlignment="1"/>
    <xf numFmtId="10" fontId="2" fillId="0" borderId="0" xfId="0" applyNumberFormat="1" applyFont="1" applyAlignment="1"/>
    <xf numFmtId="0" fontId="5" fillId="3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/>
    <xf numFmtId="0" fontId="2" fillId="0" borderId="1" xfId="0" applyNumberFormat="1" applyFont="1" applyFill="1" applyBorder="1" applyAlignment="1">
      <alignment horizontal="center" vertical="center"/>
    </xf>
    <xf numFmtId="167" fontId="5" fillId="3" borderId="1" xfId="0" applyNumberFormat="1" applyFont="1" applyFill="1" applyBorder="1" applyAlignment="1">
      <alignment horizontal="center" vertical="center" wrapText="1"/>
    </xf>
    <xf numFmtId="167" fontId="2" fillId="3" borderId="1" xfId="0" applyNumberFormat="1" applyFont="1" applyFill="1" applyBorder="1" applyAlignment="1">
      <alignment horizontal="center" vertical="center" wrapText="1"/>
    </xf>
    <xf numFmtId="167" fontId="4" fillId="3" borderId="1" xfId="0" applyNumberFormat="1" applyFont="1" applyFill="1" applyBorder="1" applyAlignment="1">
      <alignment horizontal="center" vertical="center"/>
    </xf>
    <xf numFmtId="167" fontId="2" fillId="3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Alignment="1"/>
    <xf numFmtId="0" fontId="2" fillId="0" borderId="0" xfId="0" applyNumberFormat="1" applyFont="1" applyFill="1" applyBorder="1" applyAlignment="1"/>
    <xf numFmtId="0" fontId="1" fillId="0" borderId="0" xfId="0" applyFont="1" applyFill="1">
      <alignment vertical="top" wrapText="1"/>
    </xf>
    <xf numFmtId="165" fontId="4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2" borderId="5" xfId="0" applyNumberFormat="1" applyFont="1" applyFill="1" applyBorder="1" applyAlignment="1">
      <alignment horizontal="center" vertical="center" wrapText="1"/>
    </xf>
    <xf numFmtId="1" fontId="2" fillId="2" borderId="5" xfId="0" applyNumberFormat="1" applyFont="1" applyFill="1" applyBorder="1" applyAlignment="1">
      <alignment horizontal="center" vertical="center" wrapText="1"/>
    </xf>
    <xf numFmtId="0" fontId="2" fillId="2" borderId="6" xfId="0" applyNumberFormat="1" applyFont="1" applyFill="1" applyBorder="1" applyAlignment="1">
      <alignment horizontal="center" vertical="center" wrapText="1"/>
    </xf>
    <xf numFmtId="1" fontId="2" fillId="2" borderId="6" xfId="0" applyNumberFormat="1" applyFont="1" applyFill="1" applyBorder="1" applyAlignment="1">
      <alignment horizontal="center" vertical="center" wrapText="1"/>
    </xf>
    <xf numFmtId="1" fontId="13" fillId="2" borderId="1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right" vertical="center" wrapText="1"/>
    </xf>
    <xf numFmtId="1" fontId="5" fillId="3" borderId="1" xfId="0" applyNumberFormat="1" applyFont="1" applyFill="1" applyBorder="1" applyAlignment="1">
      <alignment horizontal="right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horizontal="left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0" fontId="2" fillId="2" borderId="2" xfId="0" applyNumberFormat="1" applyFont="1" applyFill="1" applyBorder="1" applyAlignment="1">
      <alignment horizontal="left" vertical="center" wrapText="1"/>
    </xf>
    <xf numFmtId="0" fontId="2" fillId="2" borderId="3" xfId="0" applyNumberFormat="1" applyFont="1" applyFill="1" applyBorder="1" applyAlignment="1">
      <alignment horizontal="left" vertical="center" wrapText="1"/>
    </xf>
    <xf numFmtId="0" fontId="2" fillId="2" borderId="4" xfId="0" applyNumberFormat="1" applyFont="1" applyFill="1" applyBorder="1" applyAlignment="1">
      <alignment horizontal="left" vertical="center" wrapText="1"/>
    </xf>
    <xf numFmtId="0" fontId="4" fillId="3" borderId="2" xfId="0" applyNumberFormat="1" applyFont="1" applyFill="1" applyBorder="1" applyAlignment="1">
      <alignment horizontal="center" vertical="center" wrapText="1"/>
    </xf>
    <xf numFmtId="0" fontId="4" fillId="3" borderId="3" xfId="0" applyNumberFormat="1" applyFont="1" applyFill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0" fontId="2" fillId="3" borderId="1" xfId="0" applyNumberFormat="1" applyFont="1" applyFill="1" applyBorder="1" applyAlignment="1">
      <alignment horizontal="right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right" vertical="center" wrapText="1"/>
    </xf>
    <xf numFmtId="0" fontId="5" fillId="3" borderId="3" xfId="0" applyNumberFormat="1" applyFont="1" applyFill="1" applyBorder="1" applyAlignment="1">
      <alignment horizontal="right" vertical="center" wrapText="1"/>
    </xf>
    <xf numFmtId="0" fontId="5" fillId="3" borderId="4" xfId="0" applyNumberFormat="1" applyFont="1" applyFill="1" applyBorder="1" applyAlignment="1">
      <alignment horizontal="right" vertical="center" wrapText="1"/>
    </xf>
    <xf numFmtId="0" fontId="4" fillId="3" borderId="1" xfId="0" applyNumberFormat="1" applyFont="1" applyFill="1" applyBorder="1" applyAlignment="1">
      <alignment horizontal="right" vertical="center" wrapText="1"/>
    </xf>
    <xf numFmtId="1" fontId="4" fillId="3" borderId="1" xfId="0" applyNumberFormat="1" applyFont="1" applyFill="1" applyBorder="1" applyAlignment="1">
      <alignment horizontal="right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0" fontId="5" fillId="3" borderId="3" xfId="0" applyNumberFormat="1" applyFont="1" applyFill="1" applyBorder="1" applyAlignment="1">
      <alignment horizontal="center" vertical="center" wrapText="1"/>
    </xf>
    <xf numFmtId="0" fontId="5" fillId="3" borderId="4" xfId="0" applyNumberFormat="1" applyFont="1" applyFill="1" applyBorder="1" applyAlignment="1">
      <alignment horizontal="center" vertical="center" wrapText="1"/>
    </xf>
    <xf numFmtId="0" fontId="2" fillId="2" borderId="7" xfId="0" applyNumberFormat="1" applyFont="1" applyFill="1" applyBorder="1" applyAlignment="1">
      <alignment horizontal="left" vertical="center" wrapText="1"/>
    </xf>
    <xf numFmtId="0" fontId="2" fillId="2" borderId="8" xfId="0" applyNumberFormat="1" applyFont="1" applyFill="1" applyBorder="1" applyAlignment="1">
      <alignment horizontal="left" vertical="center" wrapText="1"/>
    </xf>
    <xf numFmtId="0" fontId="2" fillId="2" borderId="9" xfId="0" applyNumberFormat="1" applyFont="1" applyFill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left" vertical="center" wrapText="1"/>
    </xf>
    <xf numFmtId="0" fontId="2" fillId="2" borderId="10" xfId="0" applyNumberFormat="1" applyFont="1" applyFill="1" applyBorder="1" applyAlignment="1">
      <alignment horizontal="left" vertical="center" wrapText="1"/>
    </xf>
    <xf numFmtId="0" fontId="2" fillId="2" borderId="11" xfId="0" applyNumberFormat="1" applyFont="1" applyFill="1" applyBorder="1" applyAlignment="1">
      <alignment horizontal="left" vertical="center" wrapText="1"/>
    </xf>
    <xf numFmtId="0" fontId="2" fillId="2" borderId="12" xfId="0" applyNumberFormat="1" applyFont="1" applyFill="1" applyBorder="1" applyAlignment="1">
      <alignment horizontal="left" vertical="center" wrapText="1"/>
    </xf>
    <xf numFmtId="0" fontId="5" fillId="2" borderId="1" xfId="0" applyNumberFormat="1" applyFont="1" applyFill="1" applyBorder="1" applyAlignment="1">
      <alignment horizontal="left" vertical="center" wrapText="1"/>
    </xf>
    <xf numFmtId="1" fontId="11" fillId="2" borderId="1" xfId="0" applyNumberFormat="1" applyFont="1" applyFill="1" applyBorder="1" applyAlignment="1">
      <alignment horizontal="left" vertical="center" wrapText="1"/>
    </xf>
    <xf numFmtId="0" fontId="5" fillId="0" borderId="2" xfId="0" applyNumberFormat="1" applyFont="1" applyFill="1" applyBorder="1" applyAlignment="1">
      <alignment horizontal="left" vertical="center" wrapText="1"/>
    </xf>
    <xf numFmtId="0" fontId="10" fillId="0" borderId="3" xfId="0" applyNumberFormat="1" applyFont="1" applyFill="1" applyBorder="1" applyAlignment="1">
      <alignment horizontal="left" vertical="center" wrapText="1"/>
    </xf>
    <xf numFmtId="0" fontId="10" fillId="0" borderId="4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right" vertical="center" wrapText="1"/>
    </xf>
    <xf numFmtId="1" fontId="2" fillId="0" borderId="0" xfId="0" applyNumberFormat="1" applyFont="1" applyBorder="1" applyAlignment="1">
      <alignment horizontal="right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3" borderId="3" xfId="0" applyNumberFormat="1" applyFont="1" applyFill="1" applyBorder="1" applyAlignment="1">
      <alignment horizontal="center" vertical="center" wrapText="1"/>
    </xf>
    <xf numFmtId="1" fontId="5" fillId="3" borderId="4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vertical="center" wrapText="1"/>
    </xf>
    <xf numFmtId="1" fontId="2" fillId="2" borderId="1" xfId="0" applyNumberFormat="1" applyFont="1" applyFill="1" applyBorder="1" applyAlignment="1">
      <alignment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1" fontId="2" fillId="0" borderId="1" xfId="0" applyNumberFormat="1" applyFont="1" applyFill="1" applyBorder="1" applyAlignment="1">
      <alignment horizontal="left" vertical="center" wrapText="1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4" xfId="0" applyNumberFormat="1" applyFont="1" applyBorder="1" applyAlignment="1">
      <alignment horizontal="left" vertical="center" wrapText="1"/>
    </xf>
  </cellXfs>
  <cellStyles count="3">
    <cellStyle name="Обычный" xfId="0" builtinId="0"/>
    <cellStyle name="Обычный 2" xfId="1" xr:uid="{00000000-0005-0000-0000-000031000000}"/>
    <cellStyle name="Обычный 2 2" xfId="2" xr:uid="{2BA7725C-BE2C-4EA2-BDBD-ACA879C25F3F}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AAAAA"/>
      <rgbColor rgb="00C0C0C0"/>
      <rgbColor rgb="000000FF"/>
      <rgbColor rgb="00FFFFFF"/>
      <rgbColor rgb="00BFBFB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ECD2"/>
      <color rgb="FFCED3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160021</xdr:colOff>
      <xdr:row>0</xdr:row>
      <xdr:rowOff>0</xdr:rowOff>
    </xdr:from>
    <xdr:to>
      <xdr:col>7</xdr:col>
      <xdr:colOff>384811</xdr:colOff>
      <xdr:row>4</xdr:row>
      <xdr:rowOff>84283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786E01A-1BAA-4728-A933-991B77522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22121" y="0"/>
          <a:ext cx="2807970" cy="9682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I53"/>
  <sheetViews>
    <sheetView showGridLines="0" tabSelected="1" workbookViewId="0">
      <selection activeCell="N39" sqref="N39"/>
    </sheetView>
  </sheetViews>
  <sheetFormatPr defaultColWidth="6.61328125" defaultRowHeight="15" customHeight="1"/>
  <cols>
    <col min="1" max="1" width="10.69140625" style="4" customWidth="1"/>
    <col min="2" max="2" width="5.07421875" style="4" customWidth="1"/>
    <col min="3" max="3" width="6.07421875" style="4" customWidth="1"/>
    <col min="4" max="4" width="4.69140625" style="4" customWidth="1"/>
    <col min="5" max="5" width="5.3828125" style="4" customWidth="1"/>
    <col min="6" max="6" width="5.23046875" style="4" customWidth="1"/>
    <col min="7" max="7" width="4.69140625" style="4" customWidth="1"/>
    <col min="8" max="8" width="4.84375" style="4" customWidth="1"/>
    <col min="9" max="9" width="6.61328125" style="4" customWidth="1"/>
    <col min="10" max="10" width="8.84375" style="4" customWidth="1"/>
    <col min="11" max="11" width="4.69140625" style="4" customWidth="1"/>
    <col min="12" max="12" width="5.4609375" style="4" customWidth="1"/>
    <col min="13" max="243" width="6.61328125" style="4" customWidth="1"/>
    <col min="244" max="16384" width="6.61328125" style="5"/>
  </cols>
  <sheetData>
    <row r="1" spans="1:243" ht="12.75" customHeight="1">
      <c r="A1" s="99"/>
      <c r="B1" s="99"/>
      <c r="C1" s="99"/>
      <c r="D1" s="6"/>
      <c r="E1" s="100"/>
      <c r="F1" s="100"/>
      <c r="G1" s="101"/>
      <c r="H1" s="101"/>
      <c r="I1" s="101"/>
      <c r="J1" s="101"/>
      <c r="K1" s="21"/>
    </row>
    <row r="2" spans="1:243" ht="13.5" customHeight="1">
      <c r="A2" s="99"/>
      <c r="B2" s="99"/>
      <c r="C2" s="99"/>
      <c r="D2" s="6"/>
      <c r="E2" s="6"/>
      <c r="F2" s="6"/>
      <c r="G2" s="7"/>
      <c r="H2" s="6"/>
      <c r="I2" s="100"/>
      <c r="J2" s="101"/>
      <c r="K2" s="21"/>
    </row>
    <row r="3" spans="1:243" ht="15" customHeight="1">
      <c r="A3" s="99"/>
      <c r="B3" s="99"/>
      <c r="C3" s="99"/>
      <c r="D3" s="6"/>
      <c r="E3" s="8"/>
      <c r="F3" s="8"/>
      <c r="G3" s="9"/>
      <c r="H3" s="9"/>
      <c r="I3" s="9"/>
      <c r="J3" s="9"/>
      <c r="K3" s="21"/>
    </row>
    <row r="4" spans="1:243" ht="29.25" customHeight="1">
      <c r="A4" s="6"/>
      <c r="B4" s="6"/>
      <c r="C4" s="6"/>
      <c r="D4" s="6"/>
      <c r="E4" s="6"/>
      <c r="F4" s="6"/>
      <c r="G4" s="7"/>
      <c r="H4" s="6"/>
      <c r="I4" s="100"/>
      <c r="J4" s="101"/>
      <c r="K4" s="21"/>
    </row>
    <row r="5" spans="1:243" ht="15" customHeight="1">
      <c r="A5" s="75" t="s">
        <v>0</v>
      </c>
      <c r="B5" s="76"/>
      <c r="C5" s="76"/>
      <c r="D5" s="76"/>
      <c r="E5" s="76"/>
      <c r="F5" s="76"/>
      <c r="G5" s="76"/>
      <c r="H5" s="76"/>
      <c r="I5" s="76"/>
      <c r="J5" s="76"/>
      <c r="K5" s="21"/>
    </row>
    <row r="6" spans="1:243" ht="15" customHeight="1">
      <c r="A6" s="60" t="s">
        <v>1</v>
      </c>
      <c r="B6" s="61"/>
      <c r="C6" s="61"/>
      <c r="D6" s="60" t="s">
        <v>2</v>
      </c>
      <c r="E6" s="61"/>
      <c r="F6" s="102" t="s">
        <v>3</v>
      </c>
      <c r="G6" s="103"/>
      <c r="H6" s="104"/>
      <c r="I6" s="60" t="s">
        <v>4</v>
      </c>
      <c r="J6" s="61"/>
      <c r="K6" s="21"/>
    </row>
    <row r="7" spans="1:243" s="1" customFormat="1" ht="25.2" customHeight="1">
      <c r="A7" s="61"/>
      <c r="B7" s="61"/>
      <c r="C7" s="61"/>
      <c r="D7" s="61"/>
      <c r="E7" s="61"/>
      <c r="F7" s="11" t="s">
        <v>5</v>
      </c>
      <c r="G7" s="10" t="s">
        <v>6</v>
      </c>
      <c r="H7" s="10" t="s">
        <v>7</v>
      </c>
      <c r="I7" s="61"/>
      <c r="J7" s="61"/>
      <c r="K7" s="22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</row>
    <row r="8" spans="1:243" ht="15" customHeight="1">
      <c r="A8" s="105" t="s">
        <v>55</v>
      </c>
      <c r="B8" s="105"/>
      <c r="C8" s="105"/>
      <c r="D8" s="105" t="s">
        <v>56</v>
      </c>
      <c r="E8" s="105"/>
      <c r="F8" s="13"/>
      <c r="G8" s="14"/>
      <c r="H8" s="14"/>
      <c r="I8" s="105" t="s">
        <v>54</v>
      </c>
      <c r="J8" s="105"/>
      <c r="K8" s="21"/>
    </row>
    <row r="9" spans="1:243" ht="15" customHeight="1">
      <c r="A9" s="10" t="s">
        <v>8</v>
      </c>
      <c r="B9" s="60" t="s">
        <v>9</v>
      </c>
      <c r="C9" s="61"/>
      <c r="D9" s="10" t="s">
        <v>10</v>
      </c>
      <c r="E9" s="10" t="s">
        <v>11</v>
      </c>
      <c r="F9" s="15" t="s">
        <v>12</v>
      </c>
      <c r="G9" s="60" t="s">
        <v>13</v>
      </c>
      <c r="H9" s="61"/>
      <c r="I9" s="60" t="s">
        <v>14</v>
      </c>
      <c r="J9" s="61"/>
      <c r="K9" s="21"/>
    </row>
    <row r="10" spans="1:243" ht="15" customHeight="1">
      <c r="A10" s="51">
        <v>46149</v>
      </c>
      <c r="B10" s="105"/>
      <c r="C10" s="105"/>
      <c r="D10" s="16">
        <v>18</v>
      </c>
      <c r="E10" s="17"/>
      <c r="F10" s="17"/>
      <c r="G10" s="105"/>
      <c r="H10" s="105"/>
      <c r="I10" s="105"/>
      <c r="J10" s="105"/>
      <c r="K10" s="21"/>
    </row>
    <row r="11" spans="1:243" ht="15" customHeight="1">
      <c r="A11" s="107" t="s">
        <v>15</v>
      </c>
      <c r="B11" s="108"/>
      <c r="C11" s="108"/>
      <c r="D11" s="108"/>
      <c r="E11" s="60" t="s">
        <v>16</v>
      </c>
      <c r="F11" s="60"/>
      <c r="G11" s="61"/>
      <c r="H11" s="61"/>
      <c r="I11" s="60" t="s">
        <v>17</v>
      </c>
      <c r="J11" s="61"/>
      <c r="K11" s="21"/>
    </row>
    <row r="12" spans="1:243" ht="15" customHeight="1">
      <c r="A12" s="106"/>
      <c r="B12" s="106"/>
      <c r="C12" s="106"/>
      <c r="D12" s="106"/>
      <c r="E12" s="109"/>
      <c r="F12" s="109"/>
      <c r="G12" s="105"/>
      <c r="H12" s="105"/>
      <c r="I12" s="106"/>
      <c r="J12" s="106"/>
      <c r="K12" s="21"/>
    </row>
    <row r="13" spans="1:243" ht="15" customHeight="1">
      <c r="A13" s="68" t="s">
        <v>36</v>
      </c>
      <c r="B13" s="69"/>
      <c r="C13" s="69"/>
      <c r="D13" s="69"/>
      <c r="E13" s="69"/>
      <c r="F13" s="69"/>
      <c r="G13" s="69"/>
      <c r="H13" s="69"/>
      <c r="I13" s="69"/>
      <c r="J13" s="70"/>
      <c r="K13" s="21"/>
    </row>
    <row r="14" spans="1:243" ht="25.2" customHeight="1">
      <c r="A14" s="82" t="s">
        <v>18</v>
      </c>
      <c r="B14" s="83"/>
      <c r="C14" s="83"/>
      <c r="D14" s="84"/>
      <c r="E14" s="10" t="s">
        <v>19</v>
      </c>
      <c r="F14" s="10" t="s">
        <v>20</v>
      </c>
      <c r="G14" s="10" t="s">
        <v>21</v>
      </c>
      <c r="H14" s="10" t="s">
        <v>22</v>
      </c>
      <c r="I14" s="10" t="s">
        <v>23</v>
      </c>
      <c r="J14" s="10"/>
      <c r="K14" s="21"/>
    </row>
    <row r="15" spans="1:243" ht="34.799999999999997" customHeight="1">
      <c r="A15" s="65" t="s">
        <v>58</v>
      </c>
      <c r="B15" s="66"/>
      <c r="C15" s="66"/>
      <c r="D15" s="67"/>
      <c r="E15" s="19">
        <v>280</v>
      </c>
      <c r="F15" s="18">
        <f t="shared" ref="F15:F16" si="0">E15*H15/$D$10</f>
        <v>31.111111111111111</v>
      </c>
      <c r="G15" s="19">
        <v>1200</v>
      </c>
      <c r="H15" s="19">
        <v>2</v>
      </c>
      <c r="I15" s="18">
        <f t="shared" ref="I15:I16" si="1">H15*G15</f>
        <v>2400</v>
      </c>
      <c r="J15" s="19"/>
      <c r="K15" s="21"/>
    </row>
    <row r="16" spans="1:243" s="3" customFormat="1" ht="31.5" customHeight="1">
      <c r="A16" s="88" t="s">
        <v>24</v>
      </c>
      <c r="B16" s="89"/>
      <c r="C16" s="89"/>
      <c r="D16" s="89"/>
      <c r="E16" s="19">
        <v>35</v>
      </c>
      <c r="F16" s="18">
        <f t="shared" si="0"/>
        <v>48.611111111111114</v>
      </c>
      <c r="G16" s="18">
        <v>150</v>
      </c>
      <c r="H16" s="19">
        <v>25</v>
      </c>
      <c r="I16" s="18">
        <f t="shared" si="1"/>
        <v>3750</v>
      </c>
      <c r="J16" s="18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</row>
    <row r="17" spans="1:243" s="3" customFormat="1" ht="25.05" customHeight="1">
      <c r="A17" s="88" t="s">
        <v>25</v>
      </c>
      <c r="B17" s="89"/>
      <c r="C17" s="89"/>
      <c r="D17" s="89"/>
      <c r="E17" s="19">
        <v>30</v>
      </c>
      <c r="F17" s="18">
        <f t="shared" ref="F17:F22" si="2">E17*H17/$D$10</f>
        <v>41.666666666666664</v>
      </c>
      <c r="G17" s="18">
        <v>160</v>
      </c>
      <c r="H17" s="19">
        <v>25</v>
      </c>
      <c r="I17" s="18">
        <f t="shared" ref="I17:I22" si="3">H17*G17</f>
        <v>4000</v>
      </c>
      <c r="J17" s="18"/>
      <c r="K17" s="26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</row>
    <row r="18" spans="1:243" s="2" customFormat="1" ht="25.05" customHeight="1" thickBot="1">
      <c r="A18" s="90" t="s">
        <v>34</v>
      </c>
      <c r="B18" s="91"/>
      <c r="C18" s="91"/>
      <c r="D18" s="92"/>
      <c r="E18" s="55">
        <v>25</v>
      </c>
      <c r="F18" s="56">
        <f>E18*H18/$D$10</f>
        <v>34.722222222222221</v>
      </c>
      <c r="G18" s="56">
        <v>90</v>
      </c>
      <c r="H18" s="55">
        <v>25</v>
      </c>
      <c r="I18" s="56">
        <f>H18*G18</f>
        <v>2250</v>
      </c>
      <c r="J18" s="18"/>
      <c r="K18" s="34"/>
      <c r="L18" s="35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</row>
    <row r="19" spans="1:243" s="2" customFormat="1" ht="25.05" customHeight="1">
      <c r="A19" s="88" t="s">
        <v>57</v>
      </c>
      <c r="B19" s="89"/>
      <c r="C19" s="89"/>
      <c r="D19" s="89"/>
      <c r="E19" s="19">
        <v>20</v>
      </c>
      <c r="F19" s="18">
        <f t="shared" ref="F19:F20" si="4">E19*H19/$D$10</f>
        <v>27.777777777777779</v>
      </c>
      <c r="G19" s="52">
        <v>230</v>
      </c>
      <c r="H19" s="53">
        <v>25</v>
      </c>
      <c r="I19" s="52">
        <f t="shared" ref="I19:I20" si="5">H19*G19</f>
        <v>5750</v>
      </c>
      <c r="J19" s="24"/>
      <c r="K19" s="21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</row>
    <row r="20" spans="1:243" s="2" customFormat="1" ht="25.05" customHeight="1">
      <c r="A20" s="65" t="s">
        <v>63</v>
      </c>
      <c r="B20" s="66"/>
      <c r="C20" s="66"/>
      <c r="D20" s="67"/>
      <c r="E20" s="19">
        <v>38</v>
      </c>
      <c r="F20" s="57">
        <f t="shared" si="4"/>
        <v>52.777777777777779</v>
      </c>
      <c r="G20" s="18">
        <v>120</v>
      </c>
      <c r="H20" s="19">
        <v>25</v>
      </c>
      <c r="I20" s="18">
        <f t="shared" si="5"/>
        <v>3000</v>
      </c>
      <c r="J20" s="18"/>
      <c r="K20" s="21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</row>
    <row r="21" spans="1:243" s="2" customFormat="1" ht="25.05" customHeight="1" thickBot="1">
      <c r="A21" s="90" t="s">
        <v>38</v>
      </c>
      <c r="B21" s="91"/>
      <c r="C21" s="91"/>
      <c r="D21" s="92"/>
      <c r="E21" s="55">
        <v>27</v>
      </c>
      <c r="F21" s="56">
        <f>E21*H21/$D$10</f>
        <v>37.5</v>
      </c>
      <c r="G21" s="56">
        <v>150</v>
      </c>
      <c r="H21" s="55">
        <v>25</v>
      </c>
      <c r="I21" s="56">
        <f>H21*G21</f>
        <v>3750</v>
      </c>
      <c r="J21" s="18"/>
      <c r="K21" s="21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</row>
    <row r="22" spans="1:243" s="3" customFormat="1" ht="25.05" customHeight="1">
      <c r="A22" s="85" t="s">
        <v>52</v>
      </c>
      <c r="B22" s="86"/>
      <c r="C22" s="86"/>
      <c r="D22" s="87"/>
      <c r="E22" s="53">
        <v>60</v>
      </c>
      <c r="F22" s="54">
        <f t="shared" si="2"/>
        <v>60</v>
      </c>
      <c r="G22" s="54">
        <v>80</v>
      </c>
      <c r="H22" s="53">
        <v>18</v>
      </c>
      <c r="I22" s="54">
        <f t="shared" si="3"/>
        <v>1440</v>
      </c>
      <c r="J22" s="18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</row>
    <row r="23" spans="1:243" ht="15" customHeight="1">
      <c r="A23" s="75" t="s">
        <v>26</v>
      </c>
      <c r="B23" s="76"/>
      <c r="C23" s="76"/>
      <c r="D23" s="76"/>
      <c r="E23" s="76"/>
      <c r="F23" s="76"/>
      <c r="G23" s="76"/>
      <c r="H23" s="76"/>
      <c r="I23" s="76"/>
      <c r="J23" s="76"/>
      <c r="K23" s="21"/>
    </row>
    <row r="24" spans="1:243" ht="25.2" customHeight="1">
      <c r="A24" s="60" t="s">
        <v>18</v>
      </c>
      <c r="B24" s="61"/>
      <c r="C24" s="61"/>
      <c r="D24" s="61"/>
      <c r="E24" s="10" t="s">
        <v>19</v>
      </c>
      <c r="F24" s="10" t="s">
        <v>20</v>
      </c>
      <c r="G24" s="10" t="s">
        <v>21</v>
      </c>
      <c r="H24" s="10" t="s">
        <v>22</v>
      </c>
      <c r="I24" s="10" t="s">
        <v>23</v>
      </c>
      <c r="J24" s="10"/>
      <c r="K24" s="21"/>
    </row>
    <row r="25" spans="1:243" s="3" customFormat="1" ht="62.4" customHeight="1">
      <c r="A25" s="93" t="s">
        <v>59</v>
      </c>
      <c r="B25" s="94"/>
      <c r="C25" s="94"/>
      <c r="D25" s="94"/>
      <c r="E25" s="19">
        <v>295</v>
      </c>
      <c r="F25" s="18">
        <f t="shared" ref="F25" si="6">E25*H25/$D$10</f>
        <v>114.72222222222223</v>
      </c>
      <c r="G25" s="18">
        <v>860</v>
      </c>
      <c r="H25" s="19">
        <v>7</v>
      </c>
      <c r="I25" s="18">
        <f t="shared" ref="I25:I26" si="7">G25*H25</f>
        <v>6020</v>
      </c>
      <c r="J25" s="18" t="s">
        <v>61</v>
      </c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</row>
    <row r="26" spans="1:243" s="32" customFormat="1" ht="46.8" customHeight="1">
      <c r="A26" s="95" t="s">
        <v>53</v>
      </c>
      <c r="B26" s="96"/>
      <c r="C26" s="96"/>
      <c r="D26" s="97"/>
      <c r="E26" s="19">
        <v>190</v>
      </c>
      <c r="F26" s="18">
        <f>E26*H26/$D$10</f>
        <v>105.55555555555556</v>
      </c>
      <c r="G26" s="18">
        <v>880</v>
      </c>
      <c r="H26" s="19">
        <v>10</v>
      </c>
      <c r="I26" s="18">
        <f t="shared" si="7"/>
        <v>8800</v>
      </c>
      <c r="J26" s="18" t="s">
        <v>61</v>
      </c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</row>
    <row r="27" spans="1:243" ht="18.45" customHeight="1">
      <c r="A27" s="68" t="s">
        <v>27</v>
      </c>
      <c r="B27" s="69"/>
      <c r="C27" s="69"/>
      <c r="D27" s="69"/>
      <c r="E27" s="69"/>
      <c r="F27" s="69"/>
      <c r="G27" s="69"/>
      <c r="H27" s="69"/>
      <c r="I27" s="69"/>
      <c r="J27" s="70"/>
      <c r="K27" s="21"/>
    </row>
    <row r="28" spans="1:243" ht="25.2" customHeight="1">
      <c r="A28" s="60" t="s">
        <v>18</v>
      </c>
      <c r="B28" s="61"/>
      <c r="C28" s="61"/>
      <c r="D28" s="61"/>
      <c r="E28" s="10" t="s">
        <v>19</v>
      </c>
      <c r="F28" s="10" t="s">
        <v>20</v>
      </c>
      <c r="G28" s="10" t="s">
        <v>21</v>
      </c>
      <c r="H28" s="10" t="s">
        <v>22</v>
      </c>
      <c r="I28" s="10" t="s">
        <v>23</v>
      </c>
      <c r="J28" s="10"/>
      <c r="K28" s="21"/>
    </row>
    <row r="29" spans="1:243" ht="15" customHeight="1">
      <c r="A29" s="82" t="s">
        <v>28</v>
      </c>
      <c r="B29" s="83"/>
      <c r="C29" s="83"/>
      <c r="D29" s="83"/>
      <c r="E29" s="83"/>
      <c r="F29" s="83"/>
      <c r="G29" s="83"/>
      <c r="H29" s="83"/>
      <c r="I29" s="83"/>
      <c r="J29" s="84"/>
      <c r="K29" s="21"/>
    </row>
    <row r="30" spans="1:243" s="2" customFormat="1" ht="25.05" customHeight="1">
      <c r="A30" s="114" t="s">
        <v>35</v>
      </c>
      <c r="B30" s="115"/>
      <c r="C30" s="115"/>
      <c r="D30" s="116"/>
      <c r="E30" s="25">
        <v>320</v>
      </c>
      <c r="F30" s="18">
        <f t="shared" ref="F30" si="8">E30*H30/$D$10</f>
        <v>53.333333333333336</v>
      </c>
      <c r="G30" s="33">
        <v>220</v>
      </c>
      <c r="H30" s="25">
        <v>3</v>
      </c>
      <c r="I30" s="33">
        <f t="shared" ref="I30" si="9">H30*G30</f>
        <v>660</v>
      </c>
      <c r="J30" s="24"/>
      <c r="K30" s="21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</row>
    <row r="31" spans="1:243" ht="25.05" customHeight="1">
      <c r="A31" s="98" t="s">
        <v>29</v>
      </c>
      <c r="B31" s="98"/>
      <c r="C31" s="98"/>
      <c r="D31" s="98"/>
      <c r="E31" s="25">
        <v>40</v>
      </c>
      <c r="F31" s="18">
        <f t="shared" ref="F31:F34" si="10">E31*H31/$D$10</f>
        <v>33.333333333333336</v>
      </c>
      <c r="G31" s="12">
        <v>110</v>
      </c>
      <c r="H31" s="25">
        <v>15</v>
      </c>
      <c r="I31" s="12">
        <f>G31*H31</f>
        <v>1650</v>
      </c>
      <c r="J31" s="24"/>
      <c r="K31" s="21"/>
    </row>
    <row r="32" spans="1:243" ht="25.05" customHeight="1">
      <c r="A32" s="98" t="s">
        <v>30</v>
      </c>
      <c r="B32" s="98"/>
      <c r="C32" s="98"/>
      <c r="D32" s="98"/>
      <c r="E32" s="25">
        <v>40</v>
      </c>
      <c r="F32" s="18">
        <f t="shared" si="10"/>
        <v>33.333333333333336</v>
      </c>
      <c r="G32" s="12">
        <v>110</v>
      </c>
      <c r="H32" s="25">
        <v>15</v>
      </c>
      <c r="I32" s="12">
        <f t="shared" ref="I32:I34" si="11">G32*H32</f>
        <v>1650</v>
      </c>
      <c r="J32" s="24"/>
      <c r="K32" s="21"/>
    </row>
    <row r="33" spans="1:243" ht="25.05" customHeight="1">
      <c r="A33" s="98" t="s">
        <v>31</v>
      </c>
      <c r="B33" s="98"/>
      <c r="C33" s="98"/>
      <c r="D33" s="98"/>
      <c r="E33" s="25">
        <v>40</v>
      </c>
      <c r="F33" s="18">
        <f t="shared" si="10"/>
        <v>33.333333333333336</v>
      </c>
      <c r="G33" s="12">
        <v>110</v>
      </c>
      <c r="H33" s="25">
        <v>15</v>
      </c>
      <c r="I33" s="12">
        <f t="shared" si="11"/>
        <v>1650</v>
      </c>
      <c r="J33" s="24"/>
      <c r="K33" s="21"/>
    </row>
    <row r="34" spans="1:243" s="2" customFormat="1" ht="25.05" customHeight="1">
      <c r="A34" s="98" t="s">
        <v>39</v>
      </c>
      <c r="B34" s="98"/>
      <c r="C34" s="98"/>
      <c r="D34" s="98"/>
      <c r="E34" s="25">
        <v>40</v>
      </c>
      <c r="F34" s="18">
        <f t="shared" si="10"/>
        <v>33.333333333333336</v>
      </c>
      <c r="G34" s="37">
        <v>110</v>
      </c>
      <c r="H34" s="25">
        <v>15</v>
      </c>
      <c r="I34" s="37">
        <f t="shared" si="11"/>
        <v>1650</v>
      </c>
      <c r="J34" s="24"/>
      <c r="K34" s="21"/>
      <c r="L34" s="41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</row>
    <row r="35" spans="1:243" s="2" customFormat="1" ht="15" customHeight="1">
      <c r="A35" s="75" t="s">
        <v>47</v>
      </c>
      <c r="B35" s="76"/>
      <c r="C35" s="76"/>
      <c r="D35" s="76"/>
      <c r="E35" s="76"/>
      <c r="F35" s="76"/>
      <c r="G35" s="76"/>
      <c r="H35" s="76"/>
      <c r="I35" s="76"/>
      <c r="J35" s="76"/>
      <c r="K35" s="21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</row>
    <row r="36" spans="1:243" s="2" customFormat="1" ht="25.05" customHeight="1">
      <c r="A36" s="60" t="s">
        <v>18</v>
      </c>
      <c r="B36" s="61"/>
      <c r="C36" s="61"/>
      <c r="D36" s="61"/>
      <c r="E36" s="38" t="s">
        <v>19</v>
      </c>
      <c r="F36" s="38" t="s">
        <v>20</v>
      </c>
      <c r="G36" s="38" t="s">
        <v>21</v>
      </c>
      <c r="H36" s="38" t="s">
        <v>22</v>
      </c>
      <c r="I36" s="38" t="s">
        <v>23</v>
      </c>
      <c r="J36" s="38"/>
      <c r="K36" s="21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</row>
    <row r="37" spans="1:243" s="50" customFormat="1" ht="69.900000000000006" customHeight="1">
      <c r="A37" s="110" t="s">
        <v>48</v>
      </c>
      <c r="B37" s="111"/>
      <c r="C37" s="111"/>
      <c r="D37" s="111"/>
      <c r="E37" s="47">
        <v>15</v>
      </c>
      <c r="F37" s="18">
        <f t="shared" ref="F37:F40" si="12">E37*H37/$D$10</f>
        <v>8.3333333333333339</v>
      </c>
      <c r="G37" s="18">
        <v>110</v>
      </c>
      <c r="H37" s="47">
        <v>10</v>
      </c>
      <c r="I37" s="19">
        <f t="shared" ref="I37:I40" si="13">H37*G37</f>
        <v>1100</v>
      </c>
      <c r="J37" s="18"/>
      <c r="K37" s="21"/>
      <c r="L37" s="48"/>
      <c r="M37" s="49"/>
      <c r="N37" s="49"/>
      <c r="O37" s="49"/>
      <c r="P37" s="49"/>
      <c r="Q37" s="48"/>
      <c r="R37" s="48"/>
      <c r="S37" s="48"/>
      <c r="T37" s="48"/>
      <c r="U37" s="48"/>
      <c r="V37" s="49"/>
      <c r="W37" s="49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M37" s="48"/>
      <c r="CN37" s="48"/>
      <c r="CO37" s="48"/>
      <c r="CP37" s="48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48"/>
      <c r="DS37" s="48"/>
      <c r="DT37" s="48"/>
      <c r="DU37" s="48"/>
      <c r="DV37" s="48"/>
      <c r="DW37" s="48"/>
      <c r="DX37" s="48"/>
      <c r="DY37" s="48"/>
      <c r="DZ37" s="48"/>
      <c r="EA37" s="48"/>
      <c r="EB37" s="48"/>
      <c r="EC37" s="48"/>
      <c r="ED37" s="48"/>
      <c r="EE37" s="48"/>
      <c r="EF37" s="48"/>
      <c r="EG37" s="48"/>
      <c r="EH37" s="48"/>
      <c r="EI37" s="48"/>
      <c r="EJ37" s="48"/>
      <c r="EK37" s="48"/>
      <c r="EL37" s="48"/>
      <c r="EM37" s="48"/>
      <c r="EN37" s="48"/>
      <c r="EO37" s="48"/>
      <c r="EP37" s="48"/>
      <c r="EQ37" s="48"/>
      <c r="ER37" s="48"/>
      <c r="ES37" s="48"/>
      <c r="ET37" s="48"/>
      <c r="EU37" s="48"/>
      <c r="EV37" s="48"/>
      <c r="EW37" s="48"/>
      <c r="EX37" s="48"/>
      <c r="EY37" s="48"/>
      <c r="EZ37" s="48"/>
      <c r="FA37" s="48"/>
      <c r="FB37" s="48"/>
      <c r="FC37" s="48"/>
      <c r="FD37" s="48"/>
      <c r="FE37" s="48"/>
      <c r="FF37" s="48"/>
      <c r="FG37" s="48"/>
      <c r="FH37" s="48"/>
      <c r="FI37" s="48"/>
      <c r="FJ37" s="48"/>
      <c r="FK37" s="48"/>
      <c r="FL37" s="48"/>
      <c r="FM37" s="48"/>
      <c r="FN37" s="48"/>
      <c r="FO37" s="48"/>
      <c r="FP37" s="48"/>
      <c r="FQ37" s="48"/>
      <c r="FR37" s="48"/>
      <c r="FS37" s="48"/>
      <c r="FT37" s="48"/>
      <c r="FU37" s="48"/>
      <c r="FV37" s="48"/>
      <c r="FW37" s="48"/>
      <c r="FX37" s="48"/>
      <c r="FY37" s="48"/>
      <c r="FZ37" s="48"/>
      <c r="GA37" s="48"/>
      <c r="GB37" s="48"/>
      <c r="GC37" s="48"/>
      <c r="GD37" s="48"/>
      <c r="GE37" s="48"/>
      <c r="GF37" s="48"/>
      <c r="GG37" s="48"/>
      <c r="GH37" s="48"/>
      <c r="GI37" s="48"/>
      <c r="GJ37" s="48"/>
      <c r="GK37" s="48"/>
      <c r="GL37" s="48"/>
      <c r="GM37" s="48"/>
      <c r="GN37" s="48"/>
      <c r="GO37" s="48"/>
      <c r="GP37" s="48"/>
      <c r="GQ37" s="48"/>
      <c r="GR37" s="48"/>
      <c r="GS37" s="48"/>
      <c r="GT37" s="48"/>
      <c r="GU37" s="48"/>
      <c r="GV37" s="48"/>
      <c r="GW37" s="48"/>
      <c r="GX37" s="48"/>
      <c r="GY37" s="48"/>
      <c r="GZ37" s="48"/>
      <c r="HA37" s="48"/>
      <c r="HB37" s="48"/>
      <c r="HC37" s="48"/>
      <c r="HD37" s="48"/>
      <c r="HE37" s="48"/>
      <c r="HF37" s="48"/>
      <c r="HG37" s="48"/>
      <c r="HH37" s="48"/>
      <c r="HI37" s="48"/>
      <c r="HJ37" s="48"/>
      <c r="HK37" s="48"/>
      <c r="HL37" s="48"/>
      <c r="HM37" s="48"/>
      <c r="HN37" s="48"/>
      <c r="HO37" s="48"/>
      <c r="HP37" s="48"/>
      <c r="HQ37" s="48"/>
      <c r="HR37" s="48"/>
      <c r="HS37" s="48"/>
      <c r="HT37" s="48"/>
      <c r="HU37" s="48"/>
      <c r="HV37" s="48"/>
      <c r="HW37" s="48"/>
      <c r="HX37" s="48"/>
      <c r="HY37" s="48"/>
      <c r="HZ37" s="48"/>
      <c r="IA37" s="48"/>
      <c r="IB37" s="48"/>
      <c r="IC37" s="48"/>
      <c r="ID37" s="48"/>
      <c r="IE37" s="48"/>
      <c r="IF37" s="48"/>
      <c r="IG37" s="48"/>
      <c r="IH37" s="48"/>
      <c r="II37" s="48"/>
    </row>
    <row r="38" spans="1:243" s="50" customFormat="1" ht="39.9" customHeight="1">
      <c r="A38" s="112" t="s">
        <v>49</v>
      </c>
      <c r="B38" s="113"/>
      <c r="C38" s="113"/>
      <c r="D38" s="113"/>
      <c r="E38" s="42">
        <v>12</v>
      </c>
      <c r="F38" s="18">
        <f t="shared" si="12"/>
        <v>6.666666666666667</v>
      </c>
      <c r="G38" s="24">
        <v>110</v>
      </c>
      <c r="H38" s="47">
        <v>10</v>
      </c>
      <c r="I38" s="40">
        <f t="shared" si="13"/>
        <v>1100</v>
      </c>
      <c r="J38" s="24"/>
      <c r="K38" s="21"/>
      <c r="L38" s="48"/>
      <c r="M38" s="48"/>
      <c r="N38" s="48"/>
      <c r="O38" s="48"/>
      <c r="P38" s="48"/>
      <c r="Q38" s="49"/>
      <c r="R38" s="49"/>
      <c r="S38" s="49"/>
      <c r="T38" s="49"/>
      <c r="U38" s="49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8"/>
      <c r="DV38" s="48"/>
      <c r="DW38" s="48"/>
      <c r="DX38" s="48"/>
      <c r="DY38" s="48"/>
      <c r="DZ38" s="48"/>
      <c r="EA38" s="48"/>
      <c r="EB38" s="48"/>
      <c r="EC38" s="48"/>
      <c r="ED38" s="48"/>
      <c r="EE38" s="48"/>
      <c r="EF38" s="48"/>
      <c r="EG38" s="48"/>
      <c r="EH38" s="48"/>
      <c r="EI38" s="48"/>
      <c r="EJ38" s="48"/>
      <c r="EK38" s="48"/>
      <c r="EL38" s="48"/>
      <c r="EM38" s="48"/>
      <c r="EN38" s="48"/>
      <c r="EO38" s="48"/>
      <c r="EP38" s="48"/>
      <c r="EQ38" s="48"/>
      <c r="ER38" s="48"/>
      <c r="ES38" s="48"/>
      <c r="ET38" s="48"/>
      <c r="EU38" s="48"/>
      <c r="EV38" s="48"/>
      <c r="EW38" s="48"/>
      <c r="EX38" s="48"/>
      <c r="EY38" s="48"/>
      <c r="EZ38" s="48"/>
      <c r="FA38" s="48"/>
      <c r="FB38" s="48"/>
      <c r="FC38" s="48"/>
      <c r="FD38" s="48"/>
      <c r="FE38" s="48"/>
      <c r="FF38" s="48"/>
      <c r="FG38" s="48"/>
      <c r="FH38" s="48"/>
      <c r="FI38" s="48"/>
      <c r="FJ38" s="48"/>
      <c r="FK38" s="48"/>
      <c r="FL38" s="48"/>
      <c r="FM38" s="48"/>
      <c r="FN38" s="48"/>
      <c r="FO38" s="48"/>
      <c r="FP38" s="48"/>
      <c r="FQ38" s="48"/>
      <c r="FR38" s="48"/>
      <c r="FS38" s="48"/>
      <c r="FT38" s="48"/>
      <c r="FU38" s="48"/>
      <c r="FV38" s="48"/>
      <c r="FW38" s="48"/>
      <c r="FX38" s="48"/>
      <c r="FY38" s="48"/>
      <c r="FZ38" s="48"/>
      <c r="GA38" s="48"/>
      <c r="GB38" s="48"/>
      <c r="GC38" s="48"/>
      <c r="GD38" s="48"/>
      <c r="GE38" s="48"/>
      <c r="GF38" s="48"/>
      <c r="GG38" s="48"/>
      <c r="GH38" s="48"/>
      <c r="GI38" s="48"/>
      <c r="GJ38" s="48"/>
      <c r="GK38" s="48"/>
      <c r="GL38" s="48"/>
      <c r="GM38" s="48"/>
      <c r="GN38" s="48"/>
      <c r="GO38" s="48"/>
      <c r="GP38" s="48"/>
      <c r="GQ38" s="48"/>
      <c r="GR38" s="48"/>
      <c r="GS38" s="48"/>
      <c r="GT38" s="48"/>
      <c r="GU38" s="48"/>
      <c r="GV38" s="48"/>
      <c r="GW38" s="48"/>
      <c r="GX38" s="48"/>
      <c r="GY38" s="48"/>
      <c r="GZ38" s="48"/>
      <c r="HA38" s="48"/>
      <c r="HB38" s="48"/>
      <c r="HC38" s="48"/>
      <c r="HD38" s="48"/>
      <c r="HE38" s="48"/>
      <c r="HF38" s="48"/>
      <c r="HG38" s="48"/>
      <c r="HH38" s="48"/>
      <c r="HI38" s="48"/>
      <c r="HJ38" s="48"/>
      <c r="HK38" s="48"/>
      <c r="HL38" s="48"/>
      <c r="HM38" s="48"/>
      <c r="HN38" s="48"/>
      <c r="HO38" s="48"/>
      <c r="HP38" s="48"/>
      <c r="HQ38" s="48"/>
      <c r="HR38" s="48"/>
      <c r="HS38" s="48"/>
      <c r="HT38" s="48"/>
      <c r="HU38" s="48"/>
      <c r="HV38" s="48"/>
      <c r="HW38" s="48"/>
      <c r="HX38" s="48"/>
      <c r="HY38" s="48"/>
      <c r="HZ38" s="48"/>
      <c r="IA38" s="48"/>
      <c r="IB38" s="48"/>
      <c r="IC38" s="48"/>
      <c r="ID38" s="48"/>
      <c r="IE38" s="48"/>
      <c r="IF38" s="48"/>
      <c r="IG38" s="48"/>
      <c r="IH38" s="48"/>
      <c r="II38" s="48"/>
    </row>
    <row r="39" spans="1:243" s="2" customFormat="1" ht="25.05" customHeight="1">
      <c r="A39" s="62" t="s">
        <v>50</v>
      </c>
      <c r="B39" s="63"/>
      <c r="C39" s="63"/>
      <c r="D39" s="64"/>
      <c r="E39" s="42">
        <v>18</v>
      </c>
      <c r="F39" s="18">
        <f t="shared" si="12"/>
        <v>10</v>
      </c>
      <c r="G39" s="39">
        <v>35</v>
      </c>
      <c r="H39" s="47">
        <v>10</v>
      </c>
      <c r="I39" s="19">
        <f t="shared" si="13"/>
        <v>350</v>
      </c>
      <c r="J39" s="24"/>
      <c r="K39" s="21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</row>
    <row r="40" spans="1:243" s="2" customFormat="1" ht="25.05" customHeight="1">
      <c r="A40" s="62" t="s">
        <v>51</v>
      </c>
      <c r="B40" s="63"/>
      <c r="C40" s="63"/>
      <c r="D40" s="64"/>
      <c r="E40" s="42">
        <v>17</v>
      </c>
      <c r="F40" s="18">
        <f t="shared" si="12"/>
        <v>9.4444444444444446</v>
      </c>
      <c r="G40" s="39">
        <v>35</v>
      </c>
      <c r="H40" s="47">
        <v>10</v>
      </c>
      <c r="I40" s="19">
        <f t="shared" si="13"/>
        <v>350</v>
      </c>
      <c r="J40" s="24"/>
      <c r="K40" s="21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</row>
    <row r="41" spans="1:243" ht="20.55" customHeight="1">
      <c r="A41" s="68" t="s">
        <v>37</v>
      </c>
      <c r="B41" s="69"/>
      <c r="C41" s="69"/>
      <c r="D41" s="69"/>
      <c r="E41" s="69"/>
      <c r="F41" s="69"/>
      <c r="G41" s="69"/>
      <c r="H41" s="69"/>
      <c r="I41" s="69"/>
      <c r="J41" s="70"/>
    </row>
    <row r="42" spans="1:243" ht="20.399999999999999" customHeight="1">
      <c r="A42" s="71" t="s">
        <v>60</v>
      </c>
      <c r="B42" s="72"/>
      <c r="C42" s="72"/>
      <c r="D42" s="72"/>
      <c r="E42" s="28">
        <v>1000</v>
      </c>
      <c r="F42" s="18">
        <f t="shared" ref="F42" si="14">E42*H42/$D$10</f>
        <v>555.55555555555554</v>
      </c>
      <c r="G42" s="28">
        <v>320</v>
      </c>
      <c r="H42" s="20">
        <v>10</v>
      </c>
      <c r="I42" s="29">
        <f>G42*H42</f>
        <v>3200</v>
      </c>
      <c r="J42" s="27"/>
    </row>
    <row r="43" spans="1:243" ht="15" customHeight="1">
      <c r="A43" s="58" t="s">
        <v>32</v>
      </c>
      <c r="B43" s="59"/>
      <c r="C43" s="59"/>
      <c r="D43" s="59"/>
      <c r="E43" s="59"/>
      <c r="F43" s="59"/>
      <c r="G43" s="59"/>
      <c r="H43" s="59"/>
      <c r="I43" s="59"/>
      <c r="J43" s="30">
        <f>SUM(I13:I42)*0.5</f>
        <v>27260</v>
      </c>
    </row>
    <row r="44" spans="1:243" ht="15" customHeight="1">
      <c r="A44" s="73" t="s">
        <v>33</v>
      </c>
      <c r="B44" s="74"/>
      <c r="C44" s="74"/>
      <c r="D44" s="74"/>
      <c r="E44" s="74"/>
      <c r="F44" s="74"/>
      <c r="G44" s="74"/>
      <c r="H44" s="74"/>
      <c r="I44" s="74"/>
      <c r="J44" s="31">
        <f>SUM(F13:F40)</f>
        <v>775.55555555555577</v>
      </c>
    </row>
    <row r="45" spans="1:243" s="2" customFormat="1" ht="15" customHeight="1">
      <c r="A45" s="75" t="s">
        <v>40</v>
      </c>
      <c r="B45" s="76"/>
      <c r="C45" s="76"/>
      <c r="D45" s="76"/>
      <c r="E45" s="76"/>
      <c r="F45" s="76"/>
      <c r="G45" s="76"/>
      <c r="H45" s="76"/>
      <c r="I45" s="76"/>
      <c r="J45" s="76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</row>
    <row r="46" spans="1:243" s="2" customFormat="1" ht="25.05" customHeight="1">
      <c r="A46" s="60" t="s">
        <v>18</v>
      </c>
      <c r="B46" s="61"/>
      <c r="C46" s="61"/>
      <c r="D46" s="61"/>
      <c r="E46" s="36" t="s">
        <v>19</v>
      </c>
      <c r="F46" s="36" t="s">
        <v>20</v>
      </c>
      <c r="G46" s="36" t="s">
        <v>21</v>
      </c>
      <c r="H46" s="36" t="s">
        <v>22</v>
      </c>
      <c r="I46" s="36" t="s">
        <v>23</v>
      </c>
      <c r="J46" s="36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</row>
    <row r="47" spans="1:243" s="2" customFormat="1" ht="15" customHeight="1">
      <c r="A47" s="62" t="s">
        <v>41</v>
      </c>
      <c r="B47" s="63"/>
      <c r="C47" s="63"/>
      <c r="D47" s="64"/>
      <c r="E47" s="42">
        <v>150</v>
      </c>
      <c r="F47" s="37"/>
      <c r="G47" s="42">
        <v>170</v>
      </c>
      <c r="H47" s="42">
        <v>18</v>
      </c>
      <c r="I47" s="37">
        <f t="shared" ref="I47" si="15">G47*H47</f>
        <v>3060</v>
      </c>
      <c r="J47" s="2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</row>
    <row r="48" spans="1:243" s="2" customFormat="1" ht="15" customHeight="1">
      <c r="A48" s="58" t="s">
        <v>42</v>
      </c>
      <c r="B48" s="59"/>
      <c r="C48" s="59"/>
      <c r="D48" s="59"/>
      <c r="E48" s="59"/>
      <c r="F48" s="59"/>
      <c r="G48" s="59"/>
      <c r="H48" s="59"/>
      <c r="I48" s="59"/>
      <c r="J48" s="43">
        <f>SUM(I47:I47)</f>
        <v>3060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</row>
    <row r="49" spans="1:243" s="2" customFormat="1" ht="15" customHeight="1">
      <c r="A49" s="58" t="s">
        <v>43</v>
      </c>
      <c r="B49" s="59"/>
      <c r="C49" s="59"/>
      <c r="D49" s="59"/>
      <c r="E49" s="59"/>
      <c r="F49" s="59"/>
      <c r="G49" s="59"/>
      <c r="H49" s="59"/>
      <c r="I49" s="59"/>
      <c r="J49" s="43">
        <f>SUM(J43,J48)</f>
        <v>30320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</row>
    <row r="50" spans="1:243" s="2" customFormat="1" ht="15" customHeight="1">
      <c r="A50" s="73" t="s">
        <v>44</v>
      </c>
      <c r="B50" s="74"/>
      <c r="C50" s="74"/>
      <c r="D50" s="74"/>
      <c r="E50" s="74"/>
      <c r="F50" s="74"/>
      <c r="G50" s="74"/>
      <c r="H50" s="74"/>
      <c r="I50" s="74"/>
      <c r="J50" s="44">
        <f>J49/D10</f>
        <v>1684.4444444444443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</row>
    <row r="51" spans="1:243" s="2" customFormat="1" ht="15" customHeight="1">
      <c r="A51" s="77" t="s">
        <v>45</v>
      </c>
      <c r="B51" s="78"/>
      <c r="C51" s="78"/>
      <c r="D51" s="78"/>
      <c r="E51" s="78"/>
      <c r="F51" s="78"/>
      <c r="G51" s="78"/>
      <c r="H51" s="78"/>
      <c r="I51" s="79"/>
      <c r="J51" s="43">
        <v>16600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</row>
    <row r="52" spans="1:243" s="2" customFormat="1" ht="15" customHeight="1">
      <c r="A52" s="80" t="s">
        <v>62</v>
      </c>
      <c r="B52" s="81"/>
      <c r="C52" s="81"/>
      <c r="D52" s="81"/>
      <c r="E52" s="81"/>
      <c r="F52" s="81"/>
      <c r="G52" s="81"/>
      <c r="H52" s="81"/>
      <c r="I52" s="81"/>
      <c r="J52" s="45">
        <f>J49+J51</f>
        <v>46920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</row>
    <row r="53" spans="1:243" s="2" customFormat="1" ht="15" customHeight="1">
      <c r="A53" s="73" t="s">
        <v>46</v>
      </c>
      <c r="B53" s="74"/>
      <c r="C53" s="74"/>
      <c r="D53" s="74"/>
      <c r="E53" s="74"/>
      <c r="F53" s="74"/>
      <c r="G53" s="74"/>
      <c r="H53" s="74"/>
      <c r="I53" s="74"/>
      <c r="J53" s="46">
        <f>J52/$D$10</f>
        <v>2606.6666666666665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</row>
  </sheetData>
  <mergeCells count="67">
    <mergeCell ref="A27:J27"/>
    <mergeCell ref="A28:D28"/>
    <mergeCell ref="A36:D36"/>
    <mergeCell ref="A37:D37"/>
    <mergeCell ref="A38:D38"/>
    <mergeCell ref="A29:J29"/>
    <mergeCell ref="A31:D31"/>
    <mergeCell ref="A32:D32"/>
    <mergeCell ref="A33:D33"/>
    <mergeCell ref="A30:D30"/>
    <mergeCell ref="I9:J9"/>
    <mergeCell ref="I10:J10"/>
    <mergeCell ref="A13:J13"/>
    <mergeCell ref="I12:J12"/>
    <mergeCell ref="A11:D11"/>
    <mergeCell ref="E11:H11"/>
    <mergeCell ref="I11:J11"/>
    <mergeCell ref="B9:C9"/>
    <mergeCell ref="G9:H9"/>
    <mergeCell ref="A12:D12"/>
    <mergeCell ref="E12:H12"/>
    <mergeCell ref="B10:C10"/>
    <mergeCell ref="G10:H10"/>
    <mergeCell ref="I4:J4"/>
    <mergeCell ref="A5:J5"/>
    <mergeCell ref="F6:H6"/>
    <mergeCell ref="A8:C8"/>
    <mergeCell ref="D8:E8"/>
    <mergeCell ref="I8:J8"/>
    <mergeCell ref="D6:E7"/>
    <mergeCell ref="I6:J7"/>
    <mergeCell ref="A6:C7"/>
    <mergeCell ref="A1:C1"/>
    <mergeCell ref="E1:J1"/>
    <mergeCell ref="A2:C2"/>
    <mergeCell ref="I2:J2"/>
    <mergeCell ref="A3:C3"/>
    <mergeCell ref="A14:D14"/>
    <mergeCell ref="A24:D24"/>
    <mergeCell ref="A22:D22"/>
    <mergeCell ref="A23:J23"/>
    <mergeCell ref="A16:D16"/>
    <mergeCell ref="A17:D17"/>
    <mergeCell ref="A19:D19"/>
    <mergeCell ref="A21:D21"/>
    <mergeCell ref="A18:D18"/>
    <mergeCell ref="A15:D15"/>
    <mergeCell ref="A49:I49"/>
    <mergeCell ref="A50:I50"/>
    <mergeCell ref="A51:I51"/>
    <mergeCell ref="A53:I53"/>
    <mergeCell ref="A52:I52"/>
    <mergeCell ref="A48:I48"/>
    <mergeCell ref="A46:D46"/>
    <mergeCell ref="A40:D40"/>
    <mergeCell ref="A39:D39"/>
    <mergeCell ref="A20:D20"/>
    <mergeCell ref="A41:J41"/>
    <mergeCell ref="A42:D42"/>
    <mergeCell ref="A44:I44"/>
    <mergeCell ref="A45:J45"/>
    <mergeCell ref="A47:D47"/>
    <mergeCell ref="A43:I43"/>
    <mergeCell ref="A25:D25"/>
    <mergeCell ref="A26:D26"/>
    <mergeCell ref="A34:D34"/>
    <mergeCell ref="A35:J35"/>
  </mergeCells>
  <pageMargins left="0.25" right="0.25" top="0.75" bottom="0.75" header="0.3" footer="0.3"/>
  <pageSetup paperSize="9" orientation="portrait" r:id="rId1"/>
  <headerFooter>
    <oddFooter>&amp;L&amp;"Helvetica,Regular"&amp;11&amp;K000000	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DirVanil</dc:creator>
  <cp:lastModifiedBy>Белокуров Александр</cp:lastModifiedBy>
  <cp:lastPrinted>2026-05-05T12:55:32Z</cp:lastPrinted>
  <dcterms:created xsi:type="dcterms:W3CDTF">2015-08-21T15:05:00Z</dcterms:created>
  <dcterms:modified xsi:type="dcterms:W3CDTF">2026-05-06T06:35:00Z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3AA58AD02BFC4A52B482ED37DC4B3E0D_12</vt:lpwstr>
  </property>
  <property fmtid="{D5CDD505-2E9C-101B-9397-08002B2CF9AE}" pid="3" name="KSOProductBuildVer">
    <vt:lpwstr>1049-12.2.0.21931</vt:lpwstr>
  </property>
</Properties>
</file>