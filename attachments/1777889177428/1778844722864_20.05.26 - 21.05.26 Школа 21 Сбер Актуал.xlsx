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20.05.26 28 чел" sheetId="5" r:id="rId1"/>
    <sheet name="21.05.26 28 чел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<sst xmlns="http://schemas.openxmlformats.org/spreadsheetml/2006/main" count="122" uniqueCount="67">
  <si>
    <t>Кейтеринг- меню 2026</t>
  </si>
  <si>
    <t>Менеджер службы кейтеринга</t>
  </si>
  <si>
    <t>Мероприятие</t>
  </si>
  <si>
    <t xml:space="preserve">Тайминг </t>
  </si>
  <si>
    <t>Выбранный зал</t>
  </si>
  <si>
    <t xml:space="preserve">Сбор гостей </t>
  </si>
  <si>
    <t>Начало</t>
  </si>
  <si>
    <t>Окон чание</t>
  </si>
  <si>
    <t>Лесников Михаил</t>
  </si>
  <si>
    <t>КБ</t>
  </si>
  <si>
    <t>Школа21</t>
  </si>
  <si>
    <t>Дата проведения</t>
  </si>
  <si>
    <t xml:space="preserve">Рассадка </t>
  </si>
  <si>
    <t xml:space="preserve">Кол-во </t>
  </si>
  <si>
    <t>Аванс</t>
  </si>
  <si>
    <t>Дата внесения</t>
  </si>
  <si>
    <t>Форма оплаты</t>
  </si>
  <si>
    <t>Контактный телефон</t>
  </si>
  <si>
    <t>ФИО заказчика/ наименование организации</t>
  </si>
  <si>
    <t>E-mail</t>
  </si>
  <si>
    <t xml:space="preserve">Примечания </t>
  </si>
  <si>
    <t>Юлия</t>
  </si>
  <si>
    <t>Велком 09:00-10:00</t>
  </si>
  <si>
    <t>Выпечка</t>
  </si>
  <si>
    <t>Кейк-попсы</t>
  </si>
  <si>
    <t>Десерт</t>
  </si>
  <si>
    <t>Десерт "Райская птичка"</t>
  </si>
  <si>
    <t>Кофе пауза 12:00-13:00</t>
  </si>
  <si>
    <t>Фуршетные закуски</t>
  </si>
  <si>
    <t>Канапе из куриного филе  с беконом и мясным сыром</t>
  </si>
  <si>
    <t>Сербское мезе /копченый ростбиф с сырным кремом и черносливом/</t>
  </si>
  <si>
    <t>Круассан с ветчиной и творожным</t>
  </si>
  <si>
    <t>Мини красный бархат</t>
  </si>
  <si>
    <t>Итого кухня</t>
  </si>
  <si>
    <t>Итого грамм на персону без напитков</t>
  </si>
  <si>
    <t xml:space="preserve">Безалкогольные напитки </t>
  </si>
  <si>
    <t>Наименование</t>
  </si>
  <si>
    <t>Выход /гр</t>
  </si>
  <si>
    <t>Грамм /чел</t>
  </si>
  <si>
    <t>Цена</t>
  </si>
  <si>
    <t>Кол-во</t>
  </si>
  <si>
    <t>Сумма</t>
  </si>
  <si>
    <t xml:space="preserve">Чай пакетированный </t>
  </si>
  <si>
    <t>Кофе еспрессо/американо</t>
  </si>
  <si>
    <t>кофе аппарат</t>
  </si>
  <si>
    <t>Кофе Капуччино</t>
  </si>
  <si>
    <t>Сливки порционные</t>
  </si>
  <si>
    <t>Вода "Хрустальная"</t>
  </si>
  <si>
    <t xml:space="preserve">Итого бар </t>
  </si>
  <si>
    <t>Итого кухня + бар</t>
  </si>
  <si>
    <t>Итого кухня + бар на персону</t>
  </si>
  <si>
    <t>Транспорт,  аренда, услуги</t>
  </si>
  <si>
    <t>ИТОГО ПО ВСЕМ РАЗДЕЛАМ</t>
  </si>
  <si>
    <t>Итого по всем разделам на персону</t>
  </si>
  <si>
    <t>Кофе пауза №1</t>
  </si>
  <si>
    <t>Паштет из тунца с фисташками на бриоши</t>
  </si>
  <si>
    <t>Англ. Квадрат</t>
  </si>
  <si>
    <t>Профитроли с грибным муссом</t>
  </si>
  <si>
    <t>Эклер с ростбифом и вяленными томатами</t>
  </si>
  <si>
    <t>Мини-брауни</t>
  </si>
  <si>
    <t>Палочки бисквитные к шоколадному фонтану</t>
  </si>
  <si>
    <t>Возвышения</t>
  </si>
  <si>
    <t>Кофе пауза №2</t>
  </si>
  <si>
    <t>Брускетта с креветкой, творожный сыр,томаты,размарин,шпинат</t>
  </si>
  <si>
    <t xml:space="preserve">Брускетта с овощами и пармским окороком </t>
  </si>
  <si>
    <t xml:space="preserve">Наполеон с курицей </t>
  </si>
  <si>
    <t>Мини-медовик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</si>
</sst>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h:mm;@"/>
    <numFmt numFmtId="181" formatCode="dd\.mm\.yyyy"/>
    <numFmt numFmtId="182" formatCode="#\ ##0&quot; р.&quot;"/>
    <numFmt numFmtId="183" formatCode="#\ ##0\ &quot;₽&quot;"/>
  </numFmts>
  <fonts count="33">
    <font>
      <sz val="12"/>
      <color indexed="8"/>
      <name val="Verdana"/>
      <charset val="134"/>
    </font>
    <font>
      <sz val="10"/>
      <color theme="0" tint="-0.0499893185216834"/>
      <name val="Calibri"/>
      <charset val="204"/>
    </font>
    <font>
      <sz val="10"/>
      <color indexed="8"/>
      <name val="Calibri"/>
      <charset val="204"/>
    </font>
    <font>
      <b/>
      <sz val="36"/>
      <color indexed="8"/>
      <name val="Calibri"/>
      <charset val="204"/>
    </font>
    <font>
      <b/>
      <sz val="12"/>
      <color indexed="8"/>
      <name val="Calibri"/>
      <charset val="204"/>
    </font>
    <font>
      <b/>
      <sz val="10"/>
      <color indexed="8"/>
      <name val="Calibri"/>
      <charset val="204"/>
    </font>
    <font>
      <b/>
      <sz val="9"/>
      <color indexed="8"/>
      <name val="Calibri"/>
      <charset val="204"/>
    </font>
    <font>
      <b/>
      <sz val="5"/>
      <color indexed="8"/>
      <name val="Calibri"/>
      <charset val="204"/>
    </font>
    <font>
      <u/>
      <sz val="10"/>
      <color indexed="11"/>
      <name val="Calibri"/>
      <charset val="204"/>
    </font>
    <font>
      <b/>
      <sz val="14"/>
      <color indexed="8"/>
      <name val="Calibri"/>
      <charset val="204"/>
    </font>
    <font>
      <sz val="10"/>
      <name val="Calibri"/>
      <charset val="204"/>
    </font>
    <font>
      <sz val="10"/>
      <color indexed="8"/>
      <name val="Calibri"/>
      <charset val="204"/>
    </font>
    <font>
      <sz val="11"/>
      <color theme="1"/>
      <name val="Helvetica"/>
      <charset val="134"/>
      <scheme val="minor"/>
    </font>
    <font>
      <u/>
      <sz val="11"/>
      <color rgb="FF0000FF"/>
      <name val="Helvetica"/>
      <charset val="0"/>
      <scheme val="minor"/>
    </font>
    <font>
      <u/>
      <sz val="11"/>
      <color rgb="FF800080"/>
      <name val="Helvetica"/>
      <charset val="0"/>
      <scheme val="minor"/>
    </font>
    <font>
      <sz val="11"/>
      <color rgb="FFFF0000"/>
      <name val="Helvetica"/>
      <charset val="0"/>
      <scheme val="minor"/>
    </font>
    <font>
      <b/>
      <sz val="18"/>
      <color theme="3"/>
      <name val="Helvetica"/>
      <charset val="134"/>
      <scheme val="minor"/>
    </font>
    <font>
      <i/>
      <sz val="11"/>
      <color rgb="FF7F7F7F"/>
      <name val="Helvetica"/>
      <charset val="0"/>
      <scheme val="minor"/>
    </font>
    <font>
      <b/>
      <sz val="15"/>
      <color theme="3"/>
      <name val="Helvetica"/>
      <charset val="134"/>
      <scheme val="minor"/>
    </font>
    <font>
      <b/>
      <sz val="13"/>
      <color theme="3"/>
      <name val="Helvetica"/>
      <charset val="134"/>
      <scheme val="minor"/>
    </font>
    <font>
      <b/>
      <sz val="11"/>
      <color theme="3"/>
      <name val="Helvetica"/>
      <charset val="134"/>
      <scheme val="minor"/>
    </font>
    <font>
      <sz val="11"/>
      <color rgb="FF3F3F76"/>
      <name val="Helvetica"/>
      <charset val="0"/>
      <scheme val="minor"/>
    </font>
    <font>
      <b/>
      <sz val="11"/>
      <color rgb="FF3F3F3F"/>
      <name val="Helvetica"/>
      <charset val="0"/>
      <scheme val="minor"/>
    </font>
    <font>
      <b/>
      <sz val="11"/>
      <color rgb="FFFA7D00"/>
      <name val="Helvetica"/>
      <charset val="0"/>
      <scheme val="minor"/>
    </font>
    <font>
      <b/>
      <sz val="11"/>
      <color rgb="FFFFFFFF"/>
      <name val="Helvetica"/>
      <charset val="0"/>
      <scheme val="minor"/>
    </font>
    <font>
      <sz val="11"/>
      <color rgb="FFFA7D00"/>
      <name val="Helvetica"/>
      <charset val="0"/>
      <scheme val="minor"/>
    </font>
    <font>
      <b/>
      <sz val="11"/>
      <color theme="1"/>
      <name val="Helvetica"/>
      <charset val="0"/>
      <scheme val="minor"/>
    </font>
    <font>
      <sz val="11"/>
      <color rgb="FF006100"/>
      <name val="Helvetica"/>
      <charset val="0"/>
      <scheme val="minor"/>
    </font>
    <font>
      <sz val="11"/>
      <color rgb="FF9C0006"/>
      <name val="Helvetica"/>
      <charset val="0"/>
      <scheme val="minor"/>
    </font>
    <font>
      <sz val="11"/>
      <color rgb="FF9C6500"/>
      <name val="Helvetica"/>
      <charset val="0"/>
      <scheme val="minor"/>
    </font>
    <font>
      <sz val="11"/>
      <color theme="0"/>
      <name val="Helvetica"/>
      <charset val="0"/>
      <scheme val="minor"/>
    </font>
    <font>
      <sz val="11"/>
      <color theme="1"/>
      <name val="Helvetica"/>
      <charset val="0"/>
      <scheme val="minor"/>
    </font>
    <font>
      <sz val="12"/>
      <color indexed="8"/>
      <name val="Verdana"/>
      <charset val="204"/>
    </font>
  </fonts>
  <fills count="38">
    <fill>
      <patternFill patternType="none"/>
    </fill>
    <fill>
      <patternFill patternType="gray125"/>
    </fill>
    <fill>
      <patternFill patternType="solid">
        <fgColor rgb="FFFFECD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ill="0" applyBorder="0" applyProtection="0">
      <alignment vertical="top" wrapText="1"/>
    </xf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8" applyNumberFormat="0" applyAlignment="0" applyProtection="0">
      <alignment vertical="center"/>
    </xf>
    <xf numFmtId="0" fontId="22" fillId="9" borderId="19" applyNumberFormat="0" applyAlignment="0" applyProtection="0">
      <alignment vertical="center"/>
    </xf>
    <xf numFmtId="0" fontId="23" fillId="9" borderId="18" applyNumberFormat="0" applyAlignment="0" applyProtection="0">
      <alignment vertical="center"/>
    </xf>
    <xf numFmtId="0" fontId="24" fillId="10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2" fillId="0" borderId="0" applyNumberFormat="0" applyFill="0" applyBorder="0" applyProtection="0">
      <alignment vertical="top" wrapText="1"/>
    </xf>
  </cellStyleXfs>
  <cellXfs count="120">
    <xf numFmtId="0" fontId="0" fillId="0" borderId="0" xfId="0" applyFont="1" applyAlignment="1">
      <alignment vertical="top" wrapText="1"/>
    </xf>
    <xf numFmtId="0" fontId="0" fillId="2" borderId="0" xfId="0" applyFont="1" applyFill="1" applyAlignment="1">
      <alignment vertical="top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NumberFormat="1" applyFont="1" applyBorder="1" applyAlignment="1">
      <alignment horizontal="right" vertical="center" wrapText="1"/>
    </xf>
    <xf numFmtId="1" fontId="2" fillId="0" borderId="0" xfId="0" applyNumberFormat="1" applyFont="1" applyBorder="1" applyAlignment="1">
      <alignment horizontal="right" vertical="center" wrapText="1"/>
    </xf>
    <xf numFmtId="0" fontId="2" fillId="0" borderId="0" xfId="0" applyNumberFormat="1" applyFont="1" applyBorder="1" applyAlignment="1">
      <alignment vertical="center" wrapText="1"/>
    </xf>
    <xf numFmtId="1" fontId="2" fillId="0" borderId="0" xfId="0" applyNumberFormat="1" applyFont="1" applyBorder="1" applyAlignment="1">
      <alignment vertical="center" wrapText="1"/>
    </xf>
    <xf numFmtId="20" fontId="3" fillId="0" borderId="0" xfId="0" applyNumberFormat="1" applyFont="1" applyBorder="1" applyAlignment="1">
      <alignment horizontal="right" vertical="center" wrapText="1"/>
    </xf>
    <xf numFmtId="1" fontId="3" fillId="0" borderId="0" xfId="0" applyNumberFormat="1" applyFont="1" applyBorder="1" applyAlignment="1">
      <alignment horizontal="right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3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181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9" fillId="2" borderId="2" xfId="0" applyNumberFormat="1" applyFont="1" applyFill="1" applyBorder="1" applyAlignment="1">
      <alignment horizontal="center" vertical="center" wrapText="1"/>
    </xf>
    <xf numFmtId="1" fontId="9" fillId="2" borderId="3" xfId="0" applyNumberFormat="1" applyFont="1" applyFill="1" applyBorder="1" applyAlignment="1">
      <alignment horizontal="center" vertical="center" wrapText="1"/>
    </xf>
    <xf numFmtId="1" fontId="9" fillId="2" borderId="4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left" vertical="center" wrapText="1"/>
    </xf>
    <xf numFmtId="0" fontId="4" fillId="2" borderId="6" xfId="0" applyNumberFormat="1" applyFont="1" applyFill="1" applyBorder="1" applyAlignment="1">
      <alignment horizontal="left" vertical="center" wrapText="1"/>
    </xf>
    <xf numFmtId="0" fontId="4" fillId="2" borderId="7" xfId="0" applyNumberFormat="1" applyFont="1" applyFill="1" applyBorder="1" applyAlignment="1">
      <alignment horizontal="left" vertical="center" wrapText="1"/>
    </xf>
    <xf numFmtId="0" fontId="4" fillId="2" borderId="8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8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2" fillId="5" borderId="2" xfId="0" applyNumberFormat="1" applyFont="1" applyFill="1" applyBorder="1" applyAlignment="1">
      <alignment horizontal="left" vertical="center" wrapText="1"/>
    </xf>
    <xf numFmtId="0" fontId="2" fillId="5" borderId="3" xfId="0" applyNumberFormat="1" applyFont="1" applyFill="1" applyBorder="1" applyAlignment="1">
      <alignment horizontal="left" vertical="center" wrapText="1"/>
    </xf>
    <xf numFmtId="0" fontId="2" fillId="5" borderId="4" xfId="0" applyNumberFormat="1" applyFont="1" applyFill="1" applyBorder="1" applyAlignment="1">
      <alignment horizontal="left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2" fillId="3" borderId="8" xfId="0" applyNumberFormat="1" applyFont="1" applyFill="1" applyBorder="1" applyAlignment="1">
      <alignment horizontal="center" vertical="center" wrapText="1"/>
    </xf>
    <xf numFmtId="1" fontId="2" fillId="4" borderId="10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4" fillId="2" borderId="8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 wrapText="1"/>
    </xf>
    <xf numFmtId="0" fontId="0" fillId="4" borderId="0" xfId="0" applyFont="1" applyFill="1" applyAlignment="1">
      <alignment horizontal="center" vertical="center" wrapText="1"/>
    </xf>
    <xf numFmtId="0" fontId="0" fillId="4" borderId="0" xfId="0" applyFont="1" applyFill="1" applyAlignment="1">
      <alignment vertical="top" wrapText="1"/>
    </xf>
    <xf numFmtId="0" fontId="2" fillId="4" borderId="2" xfId="0" applyNumberFormat="1" applyFont="1" applyFill="1" applyBorder="1" applyAlignment="1">
      <alignment horizontal="left" vertical="center" wrapText="1"/>
    </xf>
    <xf numFmtId="0" fontId="2" fillId="4" borderId="3" xfId="0" applyNumberFormat="1" applyFont="1" applyFill="1" applyBorder="1" applyAlignment="1">
      <alignment horizontal="left" vertical="center" wrapText="1"/>
    </xf>
    <xf numFmtId="0" fontId="2" fillId="4" borderId="4" xfId="0" applyNumberFormat="1" applyFont="1" applyFill="1" applyBorder="1" applyAlignment="1">
      <alignment horizontal="left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11" fillId="5" borderId="2" xfId="0" applyNumberFormat="1" applyFont="1" applyFill="1" applyBorder="1" applyAlignment="1">
      <alignment horizontal="left" vertical="center" wrapText="1"/>
    </xf>
    <xf numFmtId="0" fontId="11" fillId="5" borderId="3" xfId="0" applyNumberFormat="1" applyFont="1" applyFill="1" applyBorder="1" applyAlignment="1">
      <alignment horizontal="left" vertical="center" wrapText="1"/>
    </xf>
    <xf numFmtId="0" fontId="11" fillId="5" borderId="4" xfId="0" applyNumberFormat="1" applyFont="1" applyFill="1" applyBorder="1" applyAlignment="1">
      <alignment horizontal="left" vertical="center" wrapText="1"/>
    </xf>
    <xf numFmtId="0" fontId="11" fillId="5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" fontId="2" fillId="4" borderId="1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right" vertical="center" wrapText="1"/>
    </xf>
    <xf numFmtId="1" fontId="5" fillId="2" borderId="1" xfId="0" applyNumberFormat="1" applyFont="1" applyFill="1" applyBorder="1" applyAlignment="1">
      <alignment horizontal="right" vertical="center" wrapText="1"/>
    </xf>
    <xf numFmtId="182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right" vertical="center" wrapText="1"/>
    </xf>
    <xf numFmtId="1" fontId="2" fillId="2" borderId="1" xfId="0" applyNumberFormat="1" applyFont="1" applyFill="1" applyBorder="1" applyAlignment="1">
      <alignment horizontal="right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6" borderId="2" xfId="0" applyNumberFormat="1" applyFont="1" applyFill="1" applyBorder="1" applyAlignment="1">
      <alignment horizontal="left" vertical="center" wrapText="1"/>
    </xf>
    <xf numFmtId="0" fontId="2" fillId="6" borderId="3" xfId="0" applyNumberFormat="1" applyFont="1" applyFill="1" applyBorder="1" applyAlignment="1">
      <alignment horizontal="left" vertical="center" wrapText="1"/>
    </xf>
    <xf numFmtId="0" fontId="2" fillId="6" borderId="4" xfId="0" applyNumberFormat="1" applyFont="1" applyFill="1" applyBorder="1" applyAlignment="1">
      <alignment horizontal="left" vertical="center" wrapText="1"/>
    </xf>
    <xf numFmtId="0" fontId="2" fillId="6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NumberFormat="1" applyFont="1" applyFill="1" applyBorder="1" applyAlignment="1">
      <alignment horizontal="left" vertical="center" wrapText="1"/>
    </xf>
    <xf numFmtId="1" fontId="2" fillId="6" borderId="1" xfId="0" applyNumberFormat="1" applyFont="1" applyFill="1" applyBorder="1" applyAlignment="1">
      <alignment horizontal="left" vertical="center" wrapText="1"/>
    </xf>
    <xf numFmtId="183" fontId="5" fillId="2" borderId="1" xfId="0" applyNumberFormat="1" applyFont="1" applyFill="1" applyBorder="1" applyAlignment="1">
      <alignment horizontal="center" vertical="center" wrapText="1"/>
    </xf>
    <xf numFmtId="183" fontId="2" fillId="2" borderId="1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right" vertical="center" wrapText="1"/>
    </xf>
    <xf numFmtId="0" fontId="5" fillId="2" borderId="3" xfId="0" applyNumberFormat="1" applyFont="1" applyFill="1" applyBorder="1" applyAlignment="1">
      <alignment horizontal="right" vertical="center" wrapText="1"/>
    </xf>
    <xf numFmtId="0" fontId="5" fillId="2" borderId="4" xfId="0" applyNumberFormat="1" applyFont="1" applyFill="1" applyBorder="1" applyAlignment="1">
      <alignment horizontal="right" vertical="center" wrapText="1"/>
    </xf>
    <xf numFmtId="0" fontId="4" fillId="2" borderId="1" xfId="0" applyNumberFormat="1" applyFont="1" applyFill="1" applyBorder="1" applyAlignment="1">
      <alignment horizontal="right" vertical="center" wrapText="1"/>
    </xf>
    <xf numFmtId="1" fontId="4" fillId="2" borderId="1" xfId="0" applyNumberFormat="1" applyFont="1" applyFill="1" applyBorder="1" applyAlignment="1">
      <alignment horizontal="right" vertical="center" wrapText="1"/>
    </xf>
    <xf numFmtId="183" fontId="4" fillId="2" borderId="1" xfId="0" applyNumberFormat="1" applyFont="1" applyFill="1" applyBorder="1" applyAlignment="1">
      <alignment horizontal="center" vertical="center"/>
    </xf>
    <xf numFmtId="183" fontId="2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vertical="center" wrapText="1"/>
    </xf>
    <xf numFmtId="1" fontId="4" fillId="2" borderId="3" xfId="0" applyNumberFormat="1" applyFont="1" applyFill="1" applyBorder="1" applyAlignment="1">
      <alignment vertical="center" wrapText="1"/>
    </xf>
    <xf numFmtId="1" fontId="4" fillId="2" borderId="4" xfId="0" applyNumberFormat="1" applyFont="1" applyFill="1" applyBorder="1" applyAlignment="1">
      <alignment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1" fontId="2" fillId="0" borderId="8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2" fillId="0" borderId="12" xfId="0" applyNumberFormat="1" applyFont="1" applyFill="1" applyBorder="1" applyAlignment="1">
      <alignment horizontal="left" vertical="center" wrapText="1"/>
    </xf>
    <xf numFmtId="0" fontId="2" fillId="0" borderId="13" xfId="0" applyNumberFormat="1" applyFont="1" applyFill="1" applyBorder="1" applyAlignment="1">
      <alignment horizontal="left" vertical="center" wrapText="1"/>
    </xf>
    <xf numFmtId="0" fontId="2" fillId="0" borderId="14" xfId="0" applyNumberFormat="1" applyFont="1" applyFill="1" applyBorder="1" applyAlignment="1">
      <alignment horizontal="left" vertical="center" wrapText="1"/>
    </xf>
    <xf numFmtId="0" fontId="2" fillId="0" borderId="11" xfId="0" applyNumberFormat="1" applyFont="1" applyFill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 wrapText="1"/>
    </xf>
    <xf numFmtId="1" fontId="2" fillId="0" borderId="11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2" fillId="4" borderId="11" xfId="0" applyNumberFormat="1" applyFont="1" applyFill="1" applyBorder="1" applyAlignment="1">
      <alignment horizontal="left" vertical="center" wrapText="1"/>
    </xf>
    <xf numFmtId="1" fontId="2" fillId="4" borderId="11" xfId="0" applyNumberFormat="1" applyFont="1" applyFill="1" applyBorder="1" applyAlignment="1">
      <alignment horizontal="left" vertical="center" wrapText="1"/>
    </xf>
    <xf numFmtId="0" fontId="2" fillId="4" borderId="11" xfId="0" applyNumberFormat="1" applyFont="1" applyFill="1" applyBorder="1" applyAlignment="1">
      <alignment horizontal="center" vertical="center" wrapText="1"/>
    </xf>
    <xf numFmtId="1" fontId="2" fillId="3" borderId="11" xfId="0" applyNumberFormat="1" applyFont="1" applyFill="1" applyBorder="1" applyAlignment="1">
      <alignment horizontal="center" vertical="center" wrapText="1"/>
    </xf>
    <xf numFmtId="0" fontId="11" fillId="3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C0C0C0"/>
      <rgbColor rgb="000000FF"/>
      <rgbColor rgb="00FFFFFF"/>
      <rgbColor rgb="00BFBFB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CED3E0"/>
      <color rgb="00FFECD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304801</xdr:colOff>
      <xdr:row>0</xdr:row>
      <xdr:rowOff>0</xdr:rowOff>
    </xdr:from>
    <xdr:to>
      <xdr:col>7</xdr:col>
      <xdr:colOff>531496</xdr:colOff>
      <xdr:row>3</xdr:row>
      <xdr:rowOff>309880</xdr:rowOff>
    </xdr:to>
    <xdr:pic>
      <xdr:nvPicPr>
        <xdr:cNvPr id="2" name="Рисунок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1815" y="0"/>
          <a:ext cx="3289935" cy="881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304801</xdr:colOff>
      <xdr:row>0</xdr:row>
      <xdr:rowOff>0</xdr:rowOff>
    </xdr:from>
    <xdr:to>
      <xdr:col>8</xdr:col>
      <xdr:colOff>236221</xdr:colOff>
      <xdr:row>3</xdr:row>
      <xdr:rowOff>309880</xdr:rowOff>
    </xdr:to>
    <xdr:pic>
      <xdr:nvPicPr>
        <xdr:cNvPr id="2" name="Рисунок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2750" y="0"/>
          <a:ext cx="3303270" cy="881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tabSelected="1" topLeftCell="A4" workbookViewId="0">
      <selection activeCell="K15" sqref="K15:K24"/>
    </sheetView>
  </sheetViews>
  <sheetFormatPr defaultColWidth="8.76666666666667" defaultRowHeight="15"/>
  <cols>
    <col min="1" max="1" width="10.6933333333333" customWidth="1"/>
    <col min="2" max="3" width="5.23333333333333" customWidth="1"/>
    <col min="4" max="4" width="8.69333333333333" customWidth="1"/>
    <col min="5" max="5" width="5.23333333333333" customWidth="1"/>
    <col min="6" max="6" width="6.69333333333333" customWidth="1"/>
    <col min="7" max="8" width="6.30666666666667" customWidth="1"/>
    <col min="11" max="11" width="17.6133333333333" customWidth="1"/>
  </cols>
  <sheetData>
    <row r="1" spans="1:11">
      <c r="A1" s="2"/>
      <c r="B1" s="2"/>
      <c r="C1" s="2"/>
      <c r="D1" s="3"/>
      <c r="E1" s="4"/>
      <c r="F1" s="4"/>
      <c r="G1" s="5"/>
      <c r="H1" s="5"/>
      <c r="I1" s="5"/>
      <c r="J1" s="5"/>
    </row>
    <row r="2" spans="1:11">
      <c r="A2" s="2"/>
      <c r="B2" s="2"/>
      <c r="C2" s="2"/>
      <c r="D2" s="3"/>
      <c r="E2" s="3"/>
      <c r="F2" s="3"/>
      <c r="G2" s="5"/>
      <c r="H2" s="3"/>
      <c r="I2" s="4"/>
      <c r="J2" s="5"/>
    </row>
    <row r="3" spans="1:11">
      <c r="A3" s="2"/>
      <c r="B3" s="2"/>
      <c r="C3" s="2"/>
      <c r="D3" s="3"/>
      <c r="E3" s="6"/>
      <c r="F3" s="6"/>
      <c r="G3" s="7"/>
      <c r="H3" s="7"/>
      <c r="I3" s="7"/>
      <c r="J3" s="7"/>
    </row>
    <row r="4" ht="46.5" spans="1:11">
      <c r="A4" s="3"/>
      <c r="B4" s="3"/>
      <c r="C4" s="3"/>
      <c r="D4" s="3"/>
      <c r="E4" s="3"/>
      <c r="F4" s="3"/>
      <c r="G4" s="5"/>
      <c r="H4" s="3"/>
      <c r="I4" s="8"/>
      <c r="J4" s="9"/>
    </row>
    <row r="5" ht="15.75" spans="1:11">
      <c r="A5" s="10" t="s">
        <v>0</v>
      </c>
      <c r="B5" s="11"/>
      <c r="C5" s="11"/>
      <c r="D5" s="11"/>
      <c r="E5" s="11"/>
      <c r="F5" s="11"/>
      <c r="G5" s="11"/>
      <c r="H5" s="11"/>
      <c r="I5" s="11"/>
      <c r="J5" s="11"/>
    </row>
    <row r="6" spans="1:11">
      <c r="A6" s="12" t="s">
        <v>1</v>
      </c>
      <c r="B6" s="13"/>
      <c r="C6" s="13"/>
      <c r="D6" s="12" t="s">
        <v>2</v>
      </c>
      <c r="E6" s="13"/>
      <c r="F6" s="14" t="s">
        <v>3</v>
      </c>
      <c r="G6" s="15"/>
      <c r="H6" s="16"/>
      <c r="I6" s="12" t="s">
        <v>4</v>
      </c>
      <c r="J6" s="13"/>
    </row>
    <row r="7" ht="23.4" customHeight="1" spans="1:11">
      <c r="A7" s="13"/>
      <c r="B7" s="13"/>
      <c r="C7" s="13"/>
      <c r="D7" s="13"/>
      <c r="E7" s="13"/>
      <c r="F7" s="13" t="s">
        <v>5</v>
      </c>
      <c r="G7" s="12" t="s">
        <v>6</v>
      </c>
      <c r="H7" s="12" t="s">
        <v>7</v>
      </c>
      <c r="I7" s="13"/>
      <c r="J7" s="13"/>
    </row>
    <row r="8" spans="1:11">
      <c r="A8" s="17" t="s">
        <v>8</v>
      </c>
      <c r="B8" s="17"/>
      <c r="C8" s="17"/>
      <c r="D8" s="17" t="s">
        <v>9</v>
      </c>
      <c r="E8" s="17"/>
      <c r="F8" s="18"/>
      <c r="G8" s="19"/>
      <c r="H8" s="19"/>
      <c r="I8" s="17" t="s">
        <v>10</v>
      </c>
      <c r="J8" s="17"/>
    </row>
    <row r="9" spans="1:11">
      <c r="A9" s="20" t="s">
        <v>11</v>
      </c>
      <c r="B9" s="12" t="s">
        <v>12</v>
      </c>
      <c r="C9" s="13"/>
      <c r="D9" s="12" t="s">
        <v>13</v>
      </c>
      <c r="E9" s="12" t="s">
        <v>14</v>
      </c>
      <c r="F9" s="21" t="s">
        <v>15</v>
      </c>
      <c r="G9" s="12" t="s">
        <v>16</v>
      </c>
      <c r="H9" s="13"/>
      <c r="I9" s="12" t="s">
        <v>17</v>
      </c>
      <c r="J9" s="13"/>
    </row>
    <row r="10" spans="1:11">
      <c r="A10" s="22">
        <v>46162</v>
      </c>
      <c r="B10" s="17"/>
      <c r="C10" s="17"/>
      <c r="D10" s="23">
        <v>28</v>
      </c>
      <c r="E10" s="24"/>
      <c r="F10" s="24"/>
      <c r="G10" s="17"/>
      <c r="H10" s="17"/>
      <c r="I10" s="17"/>
      <c r="J10" s="17"/>
    </row>
    <row r="11" spans="1:11">
      <c r="A11" s="20" t="s">
        <v>18</v>
      </c>
      <c r="B11" s="25"/>
      <c r="C11" s="25"/>
      <c r="D11" s="25"/>
      <c r="E11" s="12" t="s">
        <v>19</v>
      </c>
      <c r="F11" s="12"/>
      <c r="G11" s="13"/>
      <c r="H11" s="13"/>
      <c r="I11" s="12" t="s">
        <v>20</v>
      </c>
      <c r="J11" s="13"/>
    </row>
    <row r="12" spans="1:11">
      <c r="A12" s="24" t="s">
        <v>21</v>
      </c>
      <c r="B12" s="24"/>
      <c r="C12" s="24"/>
      <c r="D12" s="24"/>
      <c r="E12" s="26"/>
      <c r="F12" s="26"/>
      <c r="G12" s="17"/>
      <c r="H12" s="17"/>
      <c r="I12" s="24"/>
      <c r="J12" s="24"/>
    </row>
    <row r="13" ht="18.75" spans="1:11">
      <c r="A13" s="27" t="s">
        <v>22</v>
      </c>
      <c r="B13" s="28"/>
      <c r="C13" s="28"/>
      <c r="D13" s="28"/>
      <c r="E13" s="28"/>
      <c r="F13" s="28"/>
      <c r="G13" s="28"/>
      <c r="H13" s="28"/>
      <c r="I13" s="28"/>
      <c r="J13" s="29"/>
    </row>
    <row r="14" ht="15.75" spans="1:11">
      <c r="A14" s="94" t="s">
        <v>23</v>
      </c>
      <c r="B14" s="95"/>
      <c r="C14" s="95"/>
      <c r="D14" s="95"/>
      <c r="E14" s="95"/>
      <c r="F14" s="95"/>
      <c r="G14" s="95"/>
      <c r="H14" s="95"/>
      <c r="I14" s="95"/>
      <c r="J14" s="96"/>
    </row>
    <row r="15" spans="1:11">
      <c r="A15" s="97" t="s">
        <v>24</v>
      </c>
      <c r="B15" s="97"/>
      <c r="C15" s="97"/>
      <c r="D15" s="97"/>
      <c r="E15" s="98">
        <v>30</v>
      </c>
      <c r="F15" s="40">
        <f>E15*H15/$D$10</f>
        <v>30</v>
      </c>
      <c r="G15" s="57">
        <v>80</v>
      </c>
      <c r="H15" s="99">
        <v>28</v>
      </c>
      <c r="I15" s="57">
        <f>H15*G15</f>
        <v>2240</v>
      </c>
      <c r="J15" s="100"/>
      <c r="K15" s="101"/>
    </row>
    <row r="16" ht="15.75" spans="1:11">
      <c r="A16" s="94" t="s">
        <v>25</v>
      </c>
      <c r="B16" s="95"/>
      <c r="C16" s="95"/>
      <c r="D16" s="95"/>
      <c r="E16" s="95"/>
      <c r="F16" s="95"/>
      <c r="G16" s="95"/>
      <c r="H16" s="95"/>
      <c r="I16" s="95"/>
      <c r="J16" s="96"/>
      <c r="K16" s="101"/>
    </row>
    <row r="17" spans="1:11">
      <c r="A17" s="102" t="s">
        <v>26</v>
      </c>
      <c r="B17" s="103"/>
      <c r="C17" s="103"/>
      <c r="D17" s="104"/>
      <c r="E17" s="105">
        <v>10</v>
      </c>
      <c r="F17" s="69">
        <f>E17*H17/$D$10</f>
        <v>6.78571428571429</v>
      </c>
      <c r="G17" s="106">
        <v>30</v>
      </c>
      <c r="H17" s="107">
        <v>19</v>
      </c>
      <c r="I17" s="108">
        <f>H17*G17</f>
        <v>570</v>
      </c>
      <c r="J17" s="109"/>
      <c r="K17" s="101"/>
    </row>
    <row r="18" ht="15.75" spans="1:11">
      <c r="A18" s="110" t="s">
        <v>27</v>
      </c>
      <c r="B18" s="111"/>
      <c r="C18" s="111"/>
      <c r="D18" s="112"/>
      <c r="E18" s="10"/>
      <c r="F18" s="10"/>
      <c r="G18" s="10"/>
      <c r="H18" s="10"/>
      <c r="I18" s="10"/>
      <c r="J18" s="10"/>
      <c r="K18" s="101"/>
    </row>
    <row r="19" ht="15.75" spans="1:11">
      <c r="A19" s="30" t="s">
        <v>28</v>
      </c>
      <c r="B19" s="31"/>
      <c r="C19" s="31"/>
      <c r="D19" s="32"/>
      <c r="E19" s="33"/>
      <c r="F19" s="33"/>
      <c r="G19" s="33"/>
      <c r="H19" s="33"/>
      <c r="I19" s="33"/>
      <c r="J19" s="33"/>
      <c r="K19" s="101"/>
    </row>
    <row r="20" ht="26.4" customHeight="1" spans="1:11">
      <c r="A20" s="60" t="s">
        <v>29</v>
      </c>
      <c r="B20" s="61"/>
      <c r="C20" s="61"/>
      <c r="D20" s="62"/>
      <c r="E20" s="63">
        <v>36</v>
      </c>
      <c r="F20" s="41">
        <f>E20*H20/$D$10</f>
        <v>28.2857142857143</v>
      </c>
      <c r="G20" s="41">
        <v>70</v>
      </c>
      <c r="H20" s="39">
        <v>22</v>
      </c>
      <c r="I20" s="17">
        <f>H20*G20</f>
        <v>1540</v>
      </c>
      <c r="J20" s="41"/>
      <c r="K20" s="42"/>
    </row>
    <row r="21" ht="24.9" customHeight="1" spans="1:11">
      <c r="A21" s="113" t="s">
        <v>30</v>
      </c>
      <c r="B21" s="114"/>
      <c r="C21" s="114"/>
      <c r="D21" s="114"/>
      <c r="E21" s="115">
        <v>30</v>
      </c>
      <c r="F21" s="69">
        <f>E21*H21/$D$10</f>
        <v>23.5714285714286</v>
      </c>
      <c r="G21" s="69">
        <v>130</v>
      </c>
      <c r="H21" s="116">
        <v>22</v>
      </c>
      <c r="I21" s="17">
        <f>H21*G21</f>
        <v>2860</v>
      </c>
      <c r="J21" s="69"/>
      <c r="K21" s="42"/>
    </row>
    <row r="22" ht="15.75" spans="1:11">
      <c r="A22" s="34" t="s">
        <v>31</v>
      </c>
      <c r="B22" s="35"/>
      <c r="C22" s="35"/>
      <c r="D22" s="36"/>
      <c r="E22" s="63">
        <v>90</v>
      </c>
      <c r="F22" s="41">
        <f>E22*H22/$D$10</f>
        <v>32.1428571428571</v>
      </c>
      <c r="G22" s="17">
        <v>130</v>
      </c>
      <c r="H22" s="117">
        <v>10</v>
      </c>
      <c r="I22" s="17">
        <f>H22*G22</f>
        <v>1300</v>
      </c>
      <c r="J22" s="118"/>
      <c r="K22" s="42"/>
    </row>
    <row r="23" ht="15.75" spans="1:11">
      <c r="A23" s="50" t="s">
        <v>23</v>
      </c>
      <c r="B23" s="51"/>
      <c r="C23" s="51"/>
      <c r="D23" s="52"/>
      <c r="E23" s="53"/>
      <c r="F23" s="53"/>
      <c r="G23" s="53"/>
      <c r="H23" s="53"/>
      <c r="I23" s="53"/>
      <c r="J23" s="53"/>
      <c r="K23" s="42"/>
    </row>
    <row r="24" spans="1:11">
      <c r="A24" s="60" t="s">
        <v>32</v>
      </c>
      <c r="B24" s="61"/>
      <c r="C24" s="61"/>
      <c r="D24" s="62"/>
      <c r="E24" s="119">
        <v>60</v>
      </c>
      <c r="F24" s="41">
        <v>47</v>
      </c>
      <c r="G24" s="41">
        <v>90</v>
      </c>
      <c r="H24" s="39">
        <v>24</v>
      </c>
      <c r="I24" s="57">
        <f>H24*G24</f>
        <v>2160</v>
      </c>
      <c r="J24" s="41"/>
      <c r="K24" s="42"/>
    </row>
    <row r="25" spans="1:11">
      <c r="A25" s="72" t="s">
        <v>33</v>
      </c>
      <c r="B25" s="73"/>
      <c r="C25" s="73"/>
      <c r="D25" s="73"/>
      <c r="E25" s="73"/>
      <c r="F25" s="73"/>
      <c r="G25" s="73"/>
      <c r="H25" s="73"/>
      <c r="I25" s="73"/>
      <c r="J25" s="74">
        <f>SUM(I14:I24)</f>
        <v>10670</v>
      </c>
    </row>
    <row r="26" spans="1:11">
      <c r="A26" s="75" t="s">
        <v>34</v>
      </c>
      <c r="B26" s="76"/>
      <c r="C26" s="76"/>
      <c r="D26" s="76"/>
      <c r="E26" s="76"/>
      <c r="F26" s="76"/>
      <c r="G26" s="76"/>
      <c r="H26" s="76"/>
      <c r="I26" s="76"/>
      <c r="J26" s="77">
        <f>SUM(F14:F24)</f>
        <v>167.785714285714</v>
      </c>
    </row>
    <row r="27" ht="15.75" spans="1:11">
      <c r="A27" s="10" t="s">
        <v>35</v>
      </c>
      <c r="B27" s="11"/>
      <c r="C27" s="11"/>
      <c r="D27" s="11"/>
      <c r="E27" s="11"/>
      <c r="F27" s="11"/>
      <c r="G27" s="11"/>
      <c r="H27" s="11"/>
      <c r="I27" s="11"/>
      <c r="J27" s="11"/>
    </row>
    <row r="28" ht="25.5" spans="1:11">
      <c r="A28" s="12" t="s">
        <v>36</v>
      </c>
      <c r="B28" s="13"/>
      <c r="C28" s="13"/>
      <c r="D28" s="13"/>
      <c r="E28" s="12" t="s">
        <v>37</v>
      </c>
      <c r="F28" s="12" t="s">
        <v>38</v>
      </c>
      <c r="G28" s="12" t="s">
        <v>39</v>
      </c>
      <c r="H28" s="12" t="s">
        <v>40</v>
      </c>
      <c r="I28" s="12" t="s">
        <v>41</v>
      </c>
      <c r="J28" s="12"/>
    </row>
    <row r="29" spans="1:11">
      <c r="A29" s="78" t="s">
        <v>42</v>
      </c>
      <c r="B29" s="79"/>
      <c r="C29" s="79"/>
      <c r="D29" s="80"/>
      <c r="E29" s="81"/>
      <c r="F29" s="17"/>
      <c r="G29" s="81">
        <v>35</v>
      </c>
      <c r="H29" s="39">
        <v>28</v>
      </c>
      <c r="I29" s="17">
        <f>H29*G29</f>
        <v>980</v>
      </c>
      <c r="J29" s="82"/>
    </row>
    <row r="30" spans="1:11">
      <c r="A30" s="78" t="s">
        <v>43</v>
      </c>
      <c r="B30" s="79"/>
      <c r="C30" s="79"/>
      <c r="D30" s="80"/>
      <c r="E30" s="81"/>
      <c r="F30" s="17"/>
      <c r="G30" s="81">
        <v>120</v>
      </c>
      <c r="H30" s="39">
        <v>24</v>
      </c>
      <c r="I30" s="17">
        <f>H30*G30</f>
        <v>2880</v>
      </c>
      <c r="J30" s="82" t="s">
        <v>44</v>
      </c>
    </row>
    <row r="31" spans="1:11">
      <c r="A31" s="78" t="s">
        <v>45</v>
      </c>
      <c r="B31" s="79"/>
      <c r="C31" s="79"/>
      <c r="D31" s="80"/>
      <c r="E31" s="81"/>
      <c r="F31" s="17"/>
      <c r="G31" s="81">
        <v>170</v>
      </c>
      <c r="H31" s="39">
        <v>14</v>
      </c>
      <c r="I31" s="17">
        <f>H31*G31</f>
        <v>2380</v>
      </c>
      <c r="J31" s="82"/>
    </row>
    <row r="32" spans="1:11">
      <c r="A32" s="83" t="s">
        <v>46</v>
      </c>
      <c r="B32" s="84"/>
      <c r="C32" s="84"/>
      <c r="D32" s="84"/>
      <c r="E32" s="81"/>
      <c r="F32" s="17"/>
      <c r="G32" s="81">
        <v>20</v>
      </c>
      <c r="H32" s="39">
        <v>23</v>
      </c>
      <c r="I32" s="17">
        <f>H32*G32</f>
        <v>460</v>
      </c>
      <c r="J32" s="82"/>
    </row>
    <row r="33" spans="1:10">
      <c r="A33" s="83" t="s">
        <v>47</v>
      </c>
      <c r="B33" s="84"/>
      <c r="C33" s="84"/>
      <c r="D33" s="84"/>
      <c r="E33" s="81"/>
      <c r="F33" s="17"/>
      <c r="G33" s="81">
        <v>100</v>
      </c>
      <c r="H33" s="39">
        <v>28</v>
      </c>
      <c r="I33" s="17">
        <f>H33*G33</f>
        <v>2800</v>
      </c>
      <c r="J33" s="82"/>
    </row>
    <row r="34" spans="1:10">
      <c r="A34" s="72" t="s">
        <v>48</v>
      </c>
      <c r="B34" s="73"/>
      <c r="C34" s="73"/>
      <c r="D34" s="73"/>
      <c r="E34" s="73"/>
      <c r="F34" s="73"/>
      <c r="G34" s="73"/>
      <c r="H34" s="73"/>
      <c r="I34" s="73"/>
      <c r="J34" s="85">
        <f>SUM(I29:I33)</f>
        <v>9500</v>
      </c>
    </row>
    <row r="35" spans="1:10">
      <c r="A35" s="72" t="s">
        <v>49</v>
      </c>
      <c r="B35" s="73"/>
      <c r="C35" s="73"/>
      <c r="D35" s="73"/>
      <c r="E35" s="73"/>
      <c r="F35" s="73"/>
      <c r="G35" s="73"/>
      <c r="H35" s="73"/>
      <c r="I35" s="73"/>
      <c r="J35" s="85">
        <f>SUM(J25,J34)</f>
        <v>20170</v>
      </c>
    </row>
    <row r="36" spans="1:10">
      <c r="A36" s="75" t="s">
        <v>50</v>
      </c>
      <c r="B36" s="76"/>
      <c r="C36" s="76"/>
      <c r="D36" s="76"/>
      <c r="E36" s="76"/>
      <c r="F36" s="76"/>
      <c r="G36" s="76"/>
      <c r="H36" s="76"/>
      <c r="I36" s="76"/>
      <c r="J36" s="86">
        <f>J35/D10</f>
        <v>720.357142857143</v>
      </c>
    </row>
    <row r="37" spans="1:10">
      <c r="A37" s="87" t="s">
        <v>51</v>
      </c>
      <c r="B37" s="88"/>
      <c r="C37" s="88"/>
      <c r="D37" s="88"/>
      <c r="E37" s="88"/>
      <c r="F37" s="88"/>
      <c r="G37" s="88"/>
      <c r="H37" s="88"/>
      <c r="I37" s="89"/>
      <c r="J37" s="85">
        <v>13500</v>
      </c>
    </row>
    <row r="38" ht="15.75" spans="1:10">
      <c r="A38" s="90" t="s">
        <v>52</v>
      </c>
      <c r="B38" s="91"/>
      <c r="C38" s="91"/>
      <c r="D38" s="91"/>
      <c r="E38" s="91"/>
      <c r="F38" s="91"/>
      <c r="G38" s="91"/>
      <c r="H38" s="91"/>
      <c r="I38" s="91"/>
      <c r="J38" s="92">
        <f>J37+J34+J25</f>
        <v>33670</v>
      </c>
    </row>
    <row r="39" spans="1:10">
      <c r="A39" s="75" t="s">
        <v>53</v>
      </c>
      <c r="B39" s="76"/>
      <c r="C39" s="76"/>
      <c r="D39" s="76"/>
      <c r="E39" s="76"/>
      <c r="F39" s="76"/>
      <c r="G39" s="76"/>
      <c r="H39" s="76"/>
      <c r="I39" s="76"/>
      <c r="J39" s="93">
        <f>J38/$D$10</f>
        <v>1202.5</v>
      </c>
    </row>
  </sheetData>
  <mergeCells count="51">
    <mergeCell ref="A1:C1"/>
    <mergeCell ref="E1:J1"/>
    <mergeCell ref="A2:C2"/>
    <mergeCell ref="I2:J2"/>
    <mergeCell ref="A3:C3"/>
    <mergeCell ref="I4:J4"/>
    <mergeCell ref="A5:J5"/>
    <mergeCell ref="F6:H6"/>
    <mergeCell ref="A8:C8"/>
    <mergeCell ref="D8:E8"/>
    <mergeCell ref="I8:J8"/>
    <mergeCell ref="B9:C9"/>
    <mergeCell ref="G9:H9"/>
    <mergeCell ref="I9:J9"/>
    <mergeCell ref="B10:C10"/>
    <mergeCell ref="G10:H10"/>
    <mergeCell ref="I10:J10"/>
    <mergeCell ref="A11:D11"/>
    <mergeCell ref="E11:H11"/>
    <mergeCell ref="I11:J11"/>
    <mergeCell ref="A12:D12"/>
    <mergeCell ref="E12:H12"/>
    <mergeCell ref="I12:J12"/>
    <mergeCell ref="A13:J13"/>
    <mergeCell ref="A15:D15"/>
    <mergeCell ref="A17:D17"/>
    <mergeCell ref="A18:J18"/>
    <mergeCell ref="A19:J19"/>
    <mergeCell ref="A20:D20"/>
    <mergeCell ref="A21:D21"/>
    <mergeCell ref="A22:D22"/>
    <mergeCell ref="A23:J23"/>
    <mergeCell ref="A24:D24"/>
    <mergeCell ref="A25:I25"/>
    <mergeCell ref="A26:I26"/>
    <mergeCell ref="A27:J27"/>
    <mergeCell ref="A28:D28"/>
    <mergeCell ref="A29:D29"/>
    <mergeCell ref="A30:D30"/>
    <mergeCell ref="A32:D32"/>
    <mergeCell ref="A33:D33"/>
    <mergeCell ref="A34:I34"/>
    <mergeCell ref="A35:I35"/>
    <mergeCell ref="A36:I36"/>
    <mergeCell ref="A37:I37"/>
    <mergeCell ref="A38:I38"/>
    <mergeCell ref="A39:I39"/>
    <mergeCell ref="K20:K24"/>
    <mergeCell ref="A6:C7"/>
    <mergeCell ref="D6:E7"/>
    <mergeCell ref="I6:J7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"/>
  <sheetViews>
    <sheetView topLeftCell="A9" workbookViewId="0">
      <selection activeCell="K29" sqref="K29"/>
    </sheetView>
  </sheetViews>
  <sheetFormatPr defaultColWidth="8.76666666666667" defaultRowHeight="15"/>
  <cols>
    <col min="1" max="4" width="7.23333333333333" customWidth="1"/>
    <col min="5" max="9" width="5.23333333333333" customWidth="1"/>
    <col min="10" max="10" width="7.69333333333333" customWidth="1"/>
    <col min="11" max="11" width="24.5333333333333" customWidth="1"/>
  </cols>
  <sheetData>
    <row r="1" spans="1:11">
      <c r="A1" s="2"/>
      <c r="B1" s="2"/>
      <c r="C1" s="2"/>
      <c r="D1" s="3"/>
      <c r="E1" s="4"/>
      <c r="F1" s="4"/>
      <c r="G1" s="5"/>
      <c r="H1" s="5"/>
      <c r="I1" s="5"/>
      <c r="J1" s="5"/>
    </row>
    <row r="2" spans="1:11">
      <c r="A2" s="2"/>
      <c r="B2" s="2"/>
      <c r="C2" s="2"/>
      <c r="D2" s="3"/>
      <c r="E2" s="3"/>
      <c r="F2" s="3"/>
      <c r="G2" s="5"/>
      <c r="H2" s="3"/>
      <c r="I2" s="4"/>
      <c r="J2" s="5"/>
    </row>
    <row r="3" spans="1:11">
      <c r="A3" s="2"/>
      <c r="B3" s="2"/>
      <c r="C3" s="2"/>
      <c r="D3" s="3"/>
      <c r="E3" s="6"/>
      <c r="F3" s="6"/>
      <c r="G3" s="7"/>
      <c r="H3" s="7"/>
      <c r="I3" s="7"/>
      <c r="J3" s="7"/>
    </row>
    <row r="4" ht="46.5" spans="1:11">
      <c r="A4" s="3"/>
      <c r="B4" s="3"/>
      <c r="C4" s="3"/>
      <c r="D4" s="3"/>
      <c r="E4" s="3"/>
      <c r="F4" s="3"/>
      <c r="G4" s="5"/>
      <c r="H4" s="3"/>
      <c r="I4" s="8"/>
      <c r="J4" s="9"/>
    </row>
    <row r="5" ht="15.75" spans="1:11">
      <c r="A5" s="10" t="s">
        <v>0</v>
      </c>
      <c r="B5" s="11"/>
      <c r="C5" s="11"/>
      <c r="D5" s="11"/>
      <c r="E5" s="11"/>
      <c r="F5" s="11"/>
      <c r="G5" s="11"/>
      <c r="H5" s="11"/>
      <c r="I5" s="11"/>
      <c r="J5" s="11"/>
    </row>
    <row r="6" spans="1:11">
      <c r="A6" s="12" t="s">
        <v>1</v>
      </c>
      <c r="B6" s="13"/>
      <c r="C6" s="13"/>
      <c r="D6" s="12" t="s">
        <v>2</v>
      </c>
      <c r="E6" s="13"/>
      <c r="F6" s="14" t="s">
        <v>3</v>
      </c>
      <c r="G6" s="15"/>
      <c r="H6" s="16"/>
      <c r="I6" s="12" t="s">
        <v>4</v>
      </c>
      <c r="J6" s="13"/>
    </row>
    <row r="7" ht="25.5" spans="1:11">
      <c r="A7" s="13"/>
      <c r="B7" s="13"/>
      <c r="C7" s="13"/>
      <c r="D7" s="13"/>
      <c r="E7" s="13"/>
      <c r="F7" s="13" t="s">
        <v>5</v>
      </c>
      <c r="G7" s="12" t="s">
        <v>6</v>
      </c>
      <c r="H7" s="12" t="s">
        <v>7</v>
      </c>
      <c r="I7" s="13"/>
      <c r="J7" s="13"/>
    </row>
    <row r="8" spans="1:11">
      <c r="A8" s="17" t="s">
        <v>8</v>
      </c>
      <c r="B8" s="17"/>
      <c r="C8" s="17"/>
      <c r="D8" s="17" t="s">
        <v>9</v>
      </c>
      <c r="E8" s="17"/>
      <c r="F8" s="18"/>
      <c r="G8" s="19"/>
      <c r="H8" s="19"/>
      <c r="I8" s="17" t="s">
        <v>10</v>
      </c>
      <c r="J8" s="17"/>
    </row>
    <row r="9" ht="24" spans="1:11">
      <c r="A9" s="20" t="s">
        <v>11</v>
      </c>
      <c r="B9" s="12" t="s">
        <v>12</v>
      </c>
      <c r="C9" s="13"/>
      <c r="D9" s="12" t="s">
        <v>13</v>
      </c>
      <c r="E9" s="12" t="s">
        <v>14</v>
      </c>
      <c r="F9" s="21" t="s">
        <v>15</v>
      </c>
      <c r="G9" s="12" t="s">
        <v>16</v>
      </c>
      <c r="H9" s="13"/>
      <c r="I9" s="12" t="s">
        <v>17</v>
      </c>
      <c r="J9" s="13"/>
    </row>
    <row r="10" spans="1:11">
      <c r="A10" s="22">
        <v>46163</v>
      </c>
      <c r="B10" s="17"/>
      <c r="C10" s="17"/>
      <c r="D10" s="23">
        <v>28</v>
      </c>
      <c r="E10" s="24"/>
      <c r="F10" s="24"/>
      <c r="G10" s="17"/>
      <c r="H10" s="17"/>
      <c r="I10" s="17"/>
      <c r="J10" s="17"/>
    </row>
    <row r="11" spans="1:11">
      <c r="A11" s="20" t="s">
        <v>18</v>
      </c>
      <c r="B11" s="25"/>
      <c r="C11" s="25"/>
      <c r="D11" s="25"/>
      <c r="E11" s="12" t="s">
        <v>19</v>
      </c>
      <c r="F11" s="12"/>
      <c r="G11" s="13"/>
      <c r="H11" s="13"/>
      <c r="I11" s="12" t="s">
        <v>20</v>
      </c>
      <c r="J11" s="13"/>
    </row>
    <row r="12" spans="1:11">
      <c r="A12" s="24" t="s">
        <v>21</v>
      </c>
      <c r="B12" s="24"/>
      <c r="C12" s="24"/>
      <c r="D12" s="24"/>
      <c r="E12" s="26"/>
      <c r="F12" s="26"/>
      <c r="G12" s="17"/>
      <c r="H12" s="17"/>
      <c r="I12" s="24"/>
      <c r="J12" s="24"/>
    </row>
    <row r="13" ht="18.75" spans="1:11">
      <c r="A13" s="27" t="s">
        <v>54</v>
      </c>
      <c r="B13" s="28"/>
      <c r="C13" s="28"/>
      <c r="D13" s="28"/>
      <c r="E13" s="28"/>
      <c r="F13" s="28"/>
      <c r="G13" s="28"/>
      <c r="H13" s="28"/>
      <c r="I13" s="28"/>
      <c r="J13" s="29"/>
    </row>
    <row r="14" ht="15.75" spans="1:11">
      <c r="A14" s="30" t="s">
        <v>28</v>
      </c>
      <c r="B14" s="31"/>
      <c r="C14" s="31"/>
      <c r="D14" s="32"/>
      <c r="E14" s="33"/>
      <c r="F14" s="33"/>
      <c r="G14" s="33"/>
      <c r="H14" s="33"/>
      <c r="I14" s="33"/>
      <c r="J14" s="33"/>
    </row>
    <row r="15" spans="1:11">
      <c r="A15" s="34" t="s">
        <v>55</v>
      </c>
      <c r="B15" s="35"/>
      <c r="C15" s="35"/>
      <c r="D15" s="36"/>
      <c r="E15" s="37">
        <v>24</v>
      </c>
      <c r="F15" s="38">
        <f t="shared" ref="F15:F19" si="0">E15*H15/$D$10</f>
        <v>17.1428571428571</v>
      </c>
      <c r="G15" s="38">
        <v>80</v>
      </c>
      <c r="H15" s="39">
        <v>20</v>
      </c>
      <c r="I15" s="40">
        <f t="shared" ref="I15:I19" si="1">H15*G15</f>
        <v>1600</v>
      </c>
      <c r="J15" s="41"/>
      <c r="K15" s="42" t="s">
        <v>56</v>
      </c>
    </row>
    <row r="16" spans="1:11">
      <c r="A16" s="43" t="s">
        <v>57</v>
      </c>
      <c r="B16" s="44"/>
      <c r="C16" s="44"/>
      <c r="D16" s="45"/>
      <c r="E16" s="46">
        <v>12</v>
      </c>
      <c r="F16" s="47">
        <v>0</v>
      </c>
      <c r="G16" s="47">
        <v>45</v>
      </c>
      <c r="H16" s="39">
        <v>22</v>
      </c>
      <c r="I16" s="40">
        <f t="shared" si="1"/>
        <v>990</v>
      </c>
      <c r="J16" s="41"/>
      <c r="K16" s="42"/>
    </row>
    <row r="17" spans="1:19">
      <c r="A17" s="34" t="s">
        <v>58</v>
      </c>
      <c r="B17" s="35"/>
      <c r="C17" s="35"/>
      <c r="D17" s="36"/>
      <c r="E17" s="37">
        <v>25</v>
      </c>
      <c r="F17" s="38">
        <f t="shared" si="0"/>
        <v>17.8571428571429</v>
      </c>
      <c r="G17" s="38">
        <v>100</v>
      </c>
      <c r="H17" s="48">
        <v>20</v>
      </c>
      <c r="I17" s="49">
        <f t="shared" si="1"/>
        <v>2000</v>
      </c>
      <c r="J17" s="49"/>
      <c r="K17" s="42"/>
    </row>
    <row r="18" ht="15.75" spans="1:19">
      <c r="A18" s="50" t="s">
        <v>23</v>
      </c>
      <c r="B18" s="51"/>
      <c r="C18" s="51"/>
      <c r="D18" s="52"/>
      <c r="E18" s="53"/>
      <c r="F18" s="53"/>
      <c r="G18" s="53"/>
      <c r="H18" s="53"/>
      <c r="I18" s="53"/>
      <c r="J18" s="53"/>
      <c r="K18" s="54"/>
    </row>
    <row r="19" spans="1:19">
      <c r="A19" s="55" t="s">
        <v>59</v>
      </c>
      <c r="B19" s="55" t="s">
        <v>60</v>
      </c>
      <c r="C19" s="55" t="s">
        <v>60</v>
      </c>
      <c r="D19" s="55" t="s">
        <v>60</v>
      </c>
      <c r="E19" s="56">
        <v>50</v>
      </c>
      <c r="F19" s="38">
        <f t="shared" si="0"/>
        <v>46.4285714285714</v>
      </c>
      <c r="G19" s="38">
        <v>80</v>
      </c>
      <c r="H19" s="39">
        <v>26</v>
      </c>
      <c r="I19" s="57">
        <f t="shared" si="1"/>
        <v>2080</v>
      </c>
      <c r="J19" s="41"/>
      <c r="K19" s="54" t="s">
        <v>61</v>
      </c>
    </row>
    <row r="20" s="1" customFormat="1" ht="20.1" customHeight="1" spans="1:19">
      <c r="A20" s="27" t="s">
        <v>62</v>
      </c>
      <c r="B20" s="28"/>
      <c r="C20" s="28"/>
      <c r="D20" s="28"/>
      <c r="E20" s="28"/>
      <c r="F20" s="28"/>
      <c r="G20" s="28"/>
      <c r="H20" s="28"/>
      <c r="I20" s="28"/>
      <c r="J20" s="29"/>
      <c r="K20" s="58"/>
      <c r="L20" s="59"/>
      <c r="M20" s="59"/>
      <c r="N20" s="59"/>
      <c r="O20" s="59"/>
      <c r="P20" s="59"/>
      <c r="Q20" s="59"/>
      <c r="R20" s="59"/>
      <c r="S20" s="59"/>
    </row>
    <row r="21" ht="15.75" spans="1:19">
      <c r="A21" s="30" t="s">
        <v>28</v>
      </c>
      <c r="B21" s="31"/>
      <c r="C21" s="31"/>
      <c r="D21" s="32"/>
      <c r="E21" s="33"/>
      <c r="F21" s="33"/>
      <c r="G21" s="33"/>
      <c r="H21" s="33"/>
      <c r="I21" s="33"/>
      <c r="J21" s="33"/>
      <c r="K21" s="54"/>
    </row>
    <row r="22" ht="35.1" customHeight="1" spans="1:19">
      <c r="A22" s="60" t="s">
        <v>63</v>
      </c>
      <c r="B22" s="61"/>
      <c r="C22" s="61"/>
      <c r="D22" s="62"/>
      <c r="E22" s="63">
        <v>36</v>
      </c>
      <c r="F22" s="41">
        <f t="shared" ref="F22:F26" si="2">E22*H22/$D$10</f>
        <v>25.7142857142857</v>
      </c>
      <c r="G22" s="41">
        <v>115</v>
      </c>
      <c r="H22" s="39">
        <v>20</v>
      </c>
      <c r="I22" s="40">
        <f t="shared" ref="I22:I26" si="3">H22*G22</f>
        <v>2300</v>
      </c>
      <c r="J22" s="41"/>
      <c r="K22" s="42" t="s">
        <v>56</v>
      </c>
    </row>
    <row r="23" ht="24.9" customHeight="1" spans="1:19">
      <c r="A23" s="64" t="s">
        <v>64</v>
      </c>
      <c r="B23" s="65"/>
      <c r="C23" s="65"/>
      <c r="D23" s="66"/>
      <c r="E23" s="67">
        <v>35</v>
      </c>
      <c r="F23" s="68">
        <v>0</v>
      </c>
      <c r="G23" s="68">
        <v>150</v>
      </c>
      <c r="H23" s="39">
        <v>17</v>
      </c>
      <c r="I23" s="40">
        <f t="shared" si="3"/>
        <v>2550</v>
      </c>
      <c r="J23" s="69"/>
      <c r="K23" s="42"/>
    </row>
    <row r="24" customHeight="1" spans="1:19">
      <c r="A24" s="60" t="s">
        <v>65</v>
      </c>
      <c r="B24" s="61"/>
      <c r="C24" s="61"/>
      <c r="D24" s="62"/>
      <c r="E24" s="63">
        <v>60</v>
      </c>
      <c r="F24" s="41">
        <f t="shared" si="2"/>
        <v>47.1428571428571</v>
      </c>
      <c r="G24" s="41">
        <v>80</v>
      </c>
      <c r="H24" s="48">
        <v>22</v>
      </c>
      <c r="I24" s="49">
        <f t="shared" si="3"/>
        <v>1760</v>
      </c>
      <c r="J24" s="69"/>
      <c r="K24" s="42"/>
    </row>
    <row r="25" ht="15.75" spans="1:19">
      <c r="A25" s="50" t="s">
        <v>23</v>
      </c>
      <c r="B25" s="51"/>
      <c r="C25" s="51"/>
      <c r="D25" s="52"/>
      <c r="E25" s="53"/>
      <c r="F25" s="53"/>
      <c r="G25" s="53"/>
      <c r="H25" s="53"/>
      <c r="I25" s="53"/>
      <c r="J25" s="53"/>
      <c r="K25" s="54"/>
    </row>
    <row r="26" spans="1:19">
      <c r="A26" s="70" t="s">
        <v>66</v>
      </c>
      <c r="B26" s="70" t="s">
        <v>60</v>
      </c>
      <c r="C26" s="70" t="s">
        <v>60</v>
      </c>
      <c r="D26" s="70" t="s">
        <v>60</v>
      </c>
      <c r="E26" s="71">
        <v>50</v>
      </c>
      <c r="F26" s="41">
        <f t="shared" si="2"/>
        <v>46.4285714285714</v>
      </c>
      <c r="G26" s="41">
        <v>60</v>
      </c>
      <c r="H26" s="39">
        <v>26</v>
      </c>
      <c r="I26" s="57">
        <f t="shared" si="3"/>
        <v>1560</v>
      </c>
      <c r="J26" s="41"/>
      <c r="K26" s="54" t="s">
        <v>61</v>
      </c>
    </row>
    <row r="27" spans="1:19">
      <c r="A27" s="72" t="s">
        <v>33</v>
      </c>
      <c r="B27" s="73"/>
      <c r="C27" s="73"/>
      <c r="D27" s="73"/>
      <c r="E27" s="73"/>
      <c r="F27" s="73"/>
      <c r="G27" s="73"/>
      <c r="H27" s="73"/>
      <c r="I27" s="73"/>
      <c r="J27" s="74">
        <f>SUM(I14:I26)</f>
        <v>14840</v>
      </c>
    </row>
    <row r="28" spans="1:19">
      <c r="A28" s="75" t="s">
        <v>34</v>
      </c>
      <c r="B28" s="76"/>
      <c r="C28" s="76"/>
      <c r="D28" s="76"/>
      <c r="E28" s="76"/>
      <c r="F28" s="76"/>
      <c r="G28" s="76"/>
      <c r="H28" s="76"/>
      <c r="I28" s="76"/>
      <c r="J28" s="77">
        <f>SUM(F14:F26)</f>
        <v>200.714285714286</v>
      </c>
    </row>
    <row r="29" ht="15.75" spans="1:19">
      <c r="A29" s="10" t="s">
        <v>35</v>
      </c>
      <c r="B29" s="11"/>
      <c r="C29" s="11"/>
      <c r="D29" s="11"/>
      <c r="E29" s="11"/>
      <c r="F29" s="11"/>
      <c r="G29" s="11"/>
      <c r="H29" s="11"/>
      <c r="I29" s="11"/>
      <c r="J29" s="11"/>
    </row>
    <row r="30" ht="25.5" spans="1:19">
      <c r="A30" s="12" t="s">
        <v>36</v>
      </c>
      <c r="B30" s="13"/>
      <c r="C30" s="13"/>
      <c r="D30" s="13"/>
      <c r="E30" s="12" t="s">
        <v>37</v>
      </c>
      <c r="F30" s="12" t="s">
        <v>38</v>
      </c>
      <c r="G30" s="12" t="s">
        <v>39</v>
      </c>
      <c r="H30" s="12" t="s">
        <v>40</v>
      </c>
      <c r="I30" s="12" t="s">
        <v>41</v>
      </c>
      <c r="J30" s="12"/>
    </row>
    <row r="31" spans="1:19">
      <c r="A31" s="78" t="s">
        <v>42</v>
      </c>
      <c r="B31" s="79"/>
      <c r="C31" s="79"/>
      <c r="D31" s="80"/>
      <c r="E31" s="81"/>
      <c r="F31" s="17"/>
      <c r="G31" s="81">
        <v>35</v>
      </c>
      <c r="H31" s="82">
        <v>28</v>
      </c>
      <c r="I31" s="17">
        <f t="shared" ref="I31:I35" si="4">H31*G31</f>
        <v>980</v>
      </c>
      <c r="J31" s="82"/>
    </row>
    <row r="32" ht="25.5" spans="1:19">
      <c r="A32" s="78" t="s">
        <v>43</v>
      </c>
      <c r="B32" s="79"/>
      <c r="C32" s="79"/>
      <c r="D32" s="80"/>
      <c r="E32" s="81"/>
      <c r="F32" s="17"/>
      <c r="G32" s="81">
        <v>120</v>
      </c>
      <c r="H32" s="82">
        <v>24</v>
      </c>
      <c r="I32" s="17">
        <f t="shared" si="4"/>
        <v>2880</v>
      </c>
      <c r="J32" s="82" t="s">
        <v>44</v>
      </c>
    </row>
    <row r="33" spans="1:10">
      <c r="A33" s="78" t="s">
        <v>45</v>
      </c>
      <c r="B33" s="79"/>
      <c r="C33" s="79"/>
      <c r="D33" s="80"/>
      <c r="E33" s="81"/>
      <c r="F33" s="17"/>
      <c r="G33" s="81">
        <v>170</v>
      </c>
      <c r="H33" s="82">
        <v>14</v>
      </c>
      <c r="I33" s="17">
        <f t="shared" si="4"/>
        <v>2380</v>
      </c>
      <c r="J33" s="82"/>
    </row>
    <row r="34" spans="1:10">
      <c r="A34" s="83" t="s">
        <v>46</v>
      </c>
      <c r="B34" s="84"/>
      <c r="C34" s="84"/>
      <c r="D34" s="84"/>
      <c r="E34" s="81"/>
      <c r="F34" s="17"/>
      <c r="G34" s="81">
        <v>20</v>
      </c>
      <c r="H34" s="82">
        <v>22</v>
      </c>
      <c r="I34" s="17">
        <f t="shared" si="4"/>
        <v>440</v>
      </c>
      <c r="J34" s="82"/>
    </row>
    <row r="35" spans="1:10">
      <c r="A35" s="83" t="s">
        <v>47</v>
      </c>
      <c r="B35" s="84"/>
      <c r="C35" s="84"/>
      <c r="D35" s="84"/>
      <c r="E35" s="81"/>
      <c r="F35" s="17"/>
      <c r="G35" s="81">
        <v>100</v>
      </c>
      <c r="H35" s="82">
        <v>28</v>
      </c>
      <c r="I35" s="17">
        <f t="shared" si="4"/>
        <v>2800</v>
      </c>
      <c r="J35" s="82"/>
    </row>
    <row r="36" spans="1:10">
      <c r="A36" s="72" t="s">
        <v>48</v>
      </c>
      <c r="B36" s="73"/>
      <c r="C36" s="73"/>
      <c r="D36" s="73"/>
      <c r="E36" s="73"/>
      <c r="F36" s="73"/>
      <c r="G36" s="73"/>
      <c r="H36" s="73"/>
      <c r="I36" s="73"/>
      <c r="J36" s="85">
        <f>SUM(I31:I35)</f>
        <v>9480</v>
      </c>
    </row>
    <row r="37" spans="1:10">
      <c r="A37" s="72" t="s">
        <v>49</v>
      </c>
      <c r="B37" s="73"/>
      <c r="C37" s="73"/>
      <c r="D37" s="73"/>
      <c r="E37" s="73"/>
      <c r="F37" s="73"/>
      <c r="G37" s="73"/>
      <c r="H37" s="73"/>
      <c r="I37" s="73"/>
      <c r="J37" s="85">
        <f>SUM(J27,J36)</f>
        <v>24320</v>
      </c>
    </row>
    <row r="38" spans="1:10">
      <c r="A38" s="75" t="s">
        <v>50</v>
      </c>
      <c r="B38" s="76"/>
      <c r="C38" s="76"/>
      <c r="D38" s="76"/>
      <c r="E38" s="76"/>
      <c r="F38" s="76"/>
      <c r="G38" s="76"/>
      <c r="H38" s="76"/>
      <c r="I38" s="76"/>
      <c r="J38" s="86">
        <f>J37/D10</f>
        <v>868.571428571429</v>
      </c>
    </row>
    <row r="39" spans="1:10">
      <c r="A39" s="87" t="s">
        <v>51</v>
      </c>
      <c r="B39" s="88"/>
      <c r="C39" s="88"/>
      <c r="D39" s="88"/>
      <c r="E39" s="88"/>
      <c r="F39" s="88"/>
      <c r="G39" s="88"/>
      <c r="H39" s="88"/>
      <c r="I39" s="89"/>
      <c r="J39" s="85">
        <v>13490</v>
      </c>
    </row>
    <row r="40" ht="15.75" spans="1:10">
      <c r="A40" s="90" t="s">
        <v>52</v>
      </c>
      <c r="B40" s="91"/>
      <c r="C40" s="91"/>
      <c r="D40" s="91"/>
      <c r="E40" s="91"/>
      <c r="F40" s="91"/>
      <c r="G40" s="91"/>
      <c r="H40" s="91"/>
      <c r="I40" s="91"/>
      <c r="J40" s="92">
        <f>J39+J36+J27</f>
        <v>37810</v>
      </c>
    </row>
    <row r="41" spans="1:10">
      <c r="A41" s="75" t="s">
        <v>53</v>
      </c>
      <c r="B41" s="76"/>
      <c r="C41" s="76"/>
      <c r="D41" s="76"/>
      <c r="E41" s="76"/>
      <c r="F41" s="76"/>
      <c r="G41" s="76"/>
      <c r="H41" s="76"/>
      <c r="I41" s="76"/>
      <c r="J41" s="93">
        <f>J40/$D$10</f>
        <v>1350.35714285714</v>
      </c>
    </row>
  </sheetData>
  <mergeCells count="57">
    <mergeCell ref="A1:C1"/>
    <mergeCell ref="E1:J1"/>
    <mergeCell ref="A2:C2"/>
    <mergeCell ref="I2:J2"/>
    <mergeCell ref="A3:C3"/>
    <mergeCell ref="I4:J4"/>
    <mergeCell ref="A5:J5"/>
    <mergeCell ref="F6:H6"/>
    <mergeCell ref="A8:C8"/>
    <mergeCell ref="D8:E8"/>
    <mergeCell ref="I8:J8"/>
    <mergeCell ref="B9:C9"/>
    <mergeCell ref="G9:H9"/>
    <mergeCell ref="I9:J9"/>
    <mergeCell ref="B10:C10"/>
    <mergeCell ref="G10:H10"/>
    <mergeCell ref="I10:J10"/>
    <mergeCell ref="A11:D11"/>
    <mergeCell ref="E11:H11"/>
    <mergeCell ref="I11:J11"/>
    <mergeCell ref="A12:D12"/>
    <mergeCell ref="E12:H12"/>
    <mergeCell ref="I12:J12"/>
    <mergeCell ref="A13:J13"/>
    <mergeCell ref="A14:J14"/>
    <mergeCell ref="A15:D15"/>
    <mergeCell ref="A16:D16"/>
    <mergeCell ref="A17:D17"/>
    <mergeCell ref="A18:J18"/>
    <mergeCell ref="A19:D19"/>
    <mergeCell ref="A20:J20"/>
    <mergeCell ref="A21:J21"/>
    <mergeCell ref="A22:D22"/>
    <mergeCell ref="A23:D23"/>
    <mergeCell ref="A24:D24"/>
    <mergeCell ref="A25:J25"/>
    <mergeCell ref="A26:D26"/>
    <mergeCell ref="A27:I27"/>
    <mergeCell ref="A28:I28"/>
    <mergeCell ref="A29:J29"/>
    <mergeCell ref="A30:D30"/>
    <mergeCell ref="A31:D31"/>
    <mergeCell ref="A32:D32"/>
    <mergeCell ref="A33:D33"/>
    <mergeCell ref="A34:D34"/>
    <mergeCell ref="A35:D35"/>
    <mergeCell ref="A36:I36"/>
    <mergeCell ref="A37:I37"/>
    <mergeCell ref="A38:I38"/>
    <mergeCell ref="A39:I39"/>
    <mergeCell ref="A40:I40"/>
    <mergeCell ref="A41:I41"/>
    <mergeCell ref="K15:K17"/>
    <mergeCell ref="K22:K24"/>
    <mergeCell ref="A6:C7"/>
    <mergeCell ref="D6:E7"/>
    <mergeCell ref="I6:J7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20.05.26 28 чел</vt:lpstr>
      <vt:lpstr>21.05.26 28 чел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DirVanil</dc:creator>
  <cp:lastModifiedBy>LesnikovMA</cp:lastModifiedBy>
  <dcterms:created xsi:type="dcterms:W3CDTF">2015-08-21T15:05:00Z</dcterms:created>
  <cp:lastPrinted>2026-04-02T17:49:00Z</cp:lastPrinted>
  <dcterms:modified xsi:type="dcterms:W3CDTF">2026-05-14T12:21:02Z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4B9216B28F3944478F6530E0C34412D3_13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