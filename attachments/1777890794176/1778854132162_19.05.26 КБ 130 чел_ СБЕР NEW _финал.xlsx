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\\ad.yarvolga.ru\files\Office work\Банкетный менеджер\2026\Кейтеринг\04 Утвержденные\05 Май\19.05 СБЕР КБ 130 чел\"/>
    </mc:Choice>
  </mc:AlternateContent>
  <xr:revisionPtr revIDLastSave="0" documentId="13_ncr:1_{ADA94991-1901-4A6A-B180-1D32A9CCC031}" xr6:coauthVersionLast="47" xr6:coauthVersionMax="47" xr10:uidLastSave="{00000000-0000-0000-0000-000000000000}"/>
  <bookViews>
    <workbookView xWindow="-120" yWindow="-120" windowWidth="29040" windowHeight="15720" firstSheet="3" activeTab="8" xr2:uid="{00000000-000D-0000-FFFF-FFFF00000000}"/>
  </bookViews>
  <sheets>
    <sheet name="Велком 19.05" sheetId="1" r:id="rId1"/>
    <sheet name="Кофе Брейк обед 19.05" sheetId="3" r:id="rId2"/>
    <sheet name="Кофе Брейк полдник 19.05" sheetId="11" r:id="rId3"/>
    <sheet name="Велком 20.05" sheetId="5" r:id="rId4"/>
    <sheet name="Кофе Брейк обед 20.05" sheetId="4" r:id="rId5"/>
    <sheet name="Велком 21.05" sheetId="6" r:id="rId6"/>
    <sheet name="Кофе Брейк Обед 21.05" sheetId="7" r:id="rId7"/>
    <sheet name="Велком 22.05" sheetId="8" r:id="rId8"/>
    <sheet name="Кофе Брейк 22.05" sheetId="9" r:id="rId9"/>
    <sheet name="СВОДКА" sheetId="10" r:id="rId10"/>
    <sheet name="Услуги" sheetId="2" r:id="rId11"/>
    <sheet name="Заявка Сбер столовая" sheetId="14" r:id="rId12"/>
    <sheet name="Лист14" sheetId="15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" i="14" l="1"/>
  <c r="F5" i="14"/>
  <c r="F4" i="14"/>
  <c r="F3" i="14"/>
  <c r="J18" i="2"/>
  <c r="J17" i="2"/>
  <c r="H15" i="2"/>
  <c r="H14" i="2"/>
  <c r="H13" i="2"/>
  <c r="H12" i="2"/>
  <c r="H11" i="2"/>
  <c r="D9" i="10"/>
  <c r="F8" i="10"/>
  <c r="E8" i="10"/>
  <c r="D8" i="10"/>
  <c r="F7" i="10"/>
  <c r="E7" i="10"/>
  <c r="D7" i="10"/>
  <c r="F6" i="10"/>
  <c r="E6" i="10"/>
  <c r="D6" i="10"/>
  <c r="C6" i="10"/>
  <c r="I41" i="9"/>
  <c r="I40" i="9"/>
  <c r="I39" i="9"/>
  <c r="I34" i="9"/>
  <c r="F34" i="9"/>
  <c r="I33" i="9"/>
  <c r="F33" i="9"/>
  <c r="I32" i="9"/>
  <c r="F32" i="9"/>
  <c r="I31" i="9"/>
  <c r="F31" i="9"/>
  <c r="I29" i="9"/>
  <c r="F29" i="9"/>
  <c r="I28" i="9"/>
  <c r="F28" i="9"/>
  <c r="I27" i="9"/>
  <c r="F27" i="9"/>
  <c r="I23" i="9"/>
  <c r="F23" i="9"/>
  <c r="I22" i="9"/>
  <c r="F22" i="9"/>
  <c r="I21" i="9"/>
  <c r="F21" i="9"/>
  <c r="I19" i="9"/>
  <c r="F19" i="9"/>
  <c r="I16" i="9"/>
  <c r="F16" i="9"/>
  <c r="I15" i="9"/>
  <c r="F15" i="9"/>
  <c r="I14" i="9"/>
  <c r="F14" i="9"/>
  <c r="J36" i="9" s="1"/>
  <c r="J44" i="8"/>
  <c r="J43" i="8"/>
  <c r="J41" i="8"/>
  <c r="I40" i="8"/>
  <c r="I39" i="8"/>
  <c r="I38" i="8"/>
  <c r="J35" i="8"/>
  <c r="J34" i="8"/>
  <c r="I33" i="8"/>
  <c r="F33" i="8"/>
  <c r="I32" i="8"/>
  <c r="F32" i="8"/>
  <c r="I31" i="8"/>
  <c r="F31" i="8"/>
  <c r="I30" i="8"/>
  <c r="F30" i="8"/>
  <c r="I27" i="8"/>
  <c r="F27" i="8"/>
  <c r="I26" i="8"/>
  <c r="F26" i="8"/>
  <c r="I23" i="8"/>
  <c r="F23" i="8"/>
  <c r="I22" i="8"/>
  <c r="F22" i="8"/>
  <c r="I19" i="8"/>
  <c r="F19" i="8"/>
  <c r="I18" i="8"/>
  <c r="F18" i="8"/>
  <c r="I17" i="8"/>
  <c r="F17" i="8"/>
  <c r="I16" i="8"/>
  <c r="F16" i="8"/>
  <c r="J46" i="7"/>
  <c r="J45" i="7"/>
  <c r="J43" i="7"/>
  <c r="I42" i="7"/>
  <c r="I41" i="7"/>
  <c r="I40" i="7"/>
  <c r="J37" i="7"/>
  <c r="J36" i="7"/>
  <c r="I35" i="7"/>
  <c r="F35" i="7"/>
  <c r="I34" i="7"/>
  <c r="F34" i="7"/>
  <c r="I33" i="7"/>
  <c r="F33" i="7"/>
  <c r="I32" i="7"/>
  <c r="F32" i="7"/>
  <c r="I30" i="7"/>
  <c r="F30" i="7"/>
  <c r="I29" i="7"/>
  <c r="F29" i="7"/>
  <c r="I28" i="7"/>
  <c r="F28" i="7"/>
  <c r="I27" i="7"/>
  <c r="F27" i="7"/>
  <c r="I23" i="7"/>
  <c r="F23" i="7"/>
  <c r="I22" i="7"/>
  <c r="F22" i="7"/>
  <c r="I21" i="7"/>
  <c r="F21" i="7"/>
  <c r="I18" i="7"/>
  <c r="F18" i="7"/>
  <c r="I17" i="7"/>
  <c r="F17" i="7"/>
  <c r="I16" i="7"/>
  <c r="F16" i="7"/>
  <c r="J47" i="6"/>
  <c r="J46" i="6"/>
  <c r="J44" i="6"/>
  <c r="I43" i="6"/>
  <c r="I42" i="6"/>
  <c r="I41" i="6"/>
  <c r="J38" i="6"/>
  <c r="J37" i="6"/>
  <c r="I36" i="6"/>
  <c r="F36" i="6"/>
  <c r="I35" i="6"/>
  <c r="F35" i="6"/>
  <c r="I34" i="6"/>
  <c r="F34" i="6"/>
  <c r="I33" i="6"/>
  <c r="F33" i="6"/>
  <c r="I30" i="6"/>
  <c r="F30" i="6"/>
  <c r="I29" i="6"/>
  <c r="F29" i="6"/>
  <c r="I26" i="6"/>
  <c r="F26" i="6"/>
  <c r="I25" i="6"/>
  <c r="F25" i="6"/>
  <c r="I22" i="6"/>
  <c r="F22" i="6"/>
  <c r="I21" i="6"/>
  <c r="F21" i="6"/>
  <c r="I18" i="6"/>
  <c r="F18" i="6"/>
  <c r="I17" i="6"/>
  <c r="F17" i="6"/>
  <c r="I16" i="6"/>
  <c r="F16" i="6"/>
  <c r="J45" i="4"/>
  <c r="J44" i="4"/>
  <c r="J42" i="4"/>
  <c r="I41" i="4"/>
  <c r="I40" i="4"/>
  <c r="I39" i="4"/>
  <c r="J36" i="4"/>
  <c r="J35" i="4"/>
  <c r="I34" i="4"/>
  <c r="F34" i="4"/>
  <c r="I33" i="4"/>
  <c r="F33" i="4"/>
  <c r="I32" i="4"/>
  <c r="F32" i="4"/>
  <c r="I31" i="4"/>
  <c r="F31" i="4"/>
  <c r="I29" i="4"/>
  <c r="F29" i="4"/>
  <c r="I28" i="4"/>
  <c r="F28" i="4"/>
  <c r="I27" i="4"/>
  <c r="F27" i="4"/>
  <c r="I23" i="4"/>
  <c r="F23" i="4"/>
  <c r="I22" i="4"/>
  <c r="F22" i="4"/>
  <c r="I20" i="4"/>
  <c r="I19" i="4"/>
  <c r="F19" i="4"/>
  <c r="I18" i="4"/>
  <c r="F18" i="4"/>
  <c r="I15" i="4"/>
  <c r="F15" i="4"/>
  <c r="I14" i="4"/>
  <c r="F14" i="4"/>
  <c r="J43" i="5"/>
  <c r="J42" i="5"/>
  <c r="J40" i="5"/>
  <c r="I39" i="5"/>
  <c r="I38" i="5"/>
  <c r="I37" i="5"/>
  <c r="J34" i="5"/>
  <c r="J33" i="5"/>
  <c r="I32" i="5"/>
  <c r="F32" i="5"/>
  <c r="I31" i="5"/>
  <c r="F31" i="5"/>
  <c r="I30" i="5"/>
  <c r="F30" i="5"/>
  <c r="I29" i="5"/>
  <c r="F29" i="5"/>
  <c r="I26" i="5"/>
  <c r="I25" i="5"/>
  <c r="F25" i="5"/>
  <c r="I22" i="5"/>
  <c r="F22" i="5"/>
  <c r="I21" i="5"/>
  <c r="F21" i="5"/>
  <c r="I18" i="5"/>
  <c r="F18" i="5"/>
  <c r="I17" i="5"/>
  <c r="F17" i="5"/>
  <c r="I16" i="5"/>
  <c r="F16" i="5"/>
  <c r="J47" i="11"/>
  <c r="J46" i="11"/>
  <c r="J44" i="11"/>
  <c r="I43" i="11"/>
  <c r="I42" i="11"/>
  <c r="I41" i="11"/>
  <c r="J38" i="11"/>
  <c r="J37" i="11"/>
  <c r="I36" i="11"/>
  <c r="F36" i="11"/>
  <c r="I35" i="11"/>
  <c r="F35" i="11"/>
  <c r="I34" i="11"/>
  <c r="F34" i="11"/>
  <c r="I33" i="11"/>
  <c r="F33" i="11"/>
  <c r="I31" i="11"/>
  <c r="F31" i="11"/>
  <c r="I30" i="11"/>
  <c r="F30" i="11"/>
  <c r="I29" i="11"/>
  <c r="F29" i="11"/>
  <c r="I28" i="11"/>
  <c r="F28" i="11"/>
  <c r="I24" i="11"/>
  <c r="F24" i="11"/>
  <c r="I23" i="11"/>
  <c r="I22" i="11"/>
  <c r="I21" i="11"/>
  <c r="I18" i="11"/>
  <c r="I17" i="11"/>
  <c r="I16" i="11"/>
  <c r="J46" i="3"/>
  <c r="J45" i="3"/>
  <c r="J43" i="3"/>
  <c r="I42" i="3"/>
  <c r="I41" i="3"/>
  <c r="I40" i="3"/>
  <c r="J37" i="3"/>
  <c r="J36" i="3"/>
  <c r="I35" i="3"/>
  <c r="F35" i="3"/>
  <c r="I34" i="3"/>
  <c r="F34" i="3"/>
  <c r="I33" i="3"/>
  <c r="F33" i="3"/>
  <c r="I32" i="3"/>
  <c r="F32" i="3"/>
  <c r="I30" i="3"/>
  <c r="F30" i="3"/>
  <c r="I29" i="3"/>
  <c r="F29" i="3"/>
  <c r="I28" i="3"/>
  <c r="F28" i="3"/>
  <c r="I27" i="3"/>
  <c r="F27" i="3"/>
  <c r="I23" i="3"/>
  <c r="F23" i="3"/>
  <c r="I22" i="3"/>
  <c r="F22" i="3"/>
  <c r="I21" i="3"/>
  <c r="F21" i="3"/>
  <c r="I18" i="3"/>
  <c r="F18" i="3"/>
  <c r="I17" i="3"/>
  <c r="F17" i="3"/>
  <c r="I16" i="3"/>
  <c r="F16" i="3"/>
  <c r="J43" i="1"/>
  <c r="J42" i="1"/>
  <c r="J40" i="1"/>
  <c r="I39" i="1"/>
  <c r="I38" i="1"/>
  <c r="I37" i="1"/>
  <c r="J34" i="1"/>
  <c r="J33" i="1"/>
  <c r="I32" i="1"/>
  <c r="F32" i="1"/>
  <c r="I31" i="1"/>
  <c r="F31" i="1"/>
  <c r="I30" i="1"/>
  <c r="F30" i="1"/>
  <c r="I29" i="1"/>
  <c r="F29" i="1"/>
  <c r="I26" i="1"/>
  <c r="F26" i="1"/>
  <c r="I25" i="1"/>
  <c r="F25" i="1"/>
  <c r="I22" i="1"/>
  <c r="F22" i="1"/>
  <c r="I21" i="1"/>
  <c r="F21" i="1"/>
  <c r="I18" i="1"/>
  <c r="F18" i="1"/>
  <c r="I17" i="1"/>
  <c r="F17" i="1"/>
  <c r="I16" i="1"/>
  <c r="F16" i="1"/>
  <c r="J42" i="9" l="1"/>
  <c r="J35" i="9"/>
  <c r="J44" i="9" s="1"/>
  <c r="E9" i="10" s="1"/>
  <c r="F9" i="10" s="1"/>
  <c r="F11" i="10" s="1"/>
  <c r="E14" i="10" s="1"/>
  <c r="J45" i="9" l="1"/>
</calcChain>
</file>

<file path=xl/sharedStrings.xml><?xml version="1.0" encoding="utf-8"?>
<sst xmlns="http://schemas.openxmlformats.org/spreadsheetml/2006/main" count="845" uniqueCount="154">
  <si>
    <t>Кейтеринг- меню 2026</t>
  </si>
  <si>
    <t>Менеджер службы кейтеринга</t>
  </si>
  <si>
    <t>Мероприятие</t>
  </si>
  <si>
    <t xml:space="preserve">Тайминг </t>
  </si>
  <si>
    <t>Выбранный зал</t>
  </si>
  <si>
    <t xml:space="preserve">Сбор гостей </t>
  </si>
  <si>
    <t>Начало</t>
  </si>
  <si>
    <t>Окон чание</t>
  </si>
  <si>
    <t>Лесников Михаил</t>
  </si>
  <si>
    <t>Кофе Брейк</t>
  </si>
  <si>
    <t>СБЕР, Советская 34</t>
  </si>
  <si>
    <t>Дата проведения</t>
  </si>
  <si>
    <t xml:space="preserve">Рассадка </t>
  </si>
  <si>
    <t xml:space="preserve">Кол-во </t>
  </si>
  <si>
    <t>Аванс</t>
  </si>
  <si>
    <t>Дата внесения</t>
  </si>
  <si>
    <t>Форма оплаты</t>
  </si>
  <si>
    <t>Контактный телефон</t>
  </si>
  <si>
    <t>ФИО заказчика/ наименование организации</t>
  </si>
  <si>
    <t>E-mail</t>
  </si>
  <si>
    <t xml:space="preserve">Примечания </t>
  </si>
  <si>
    <t>Ольга Лукина</t>
  </si>
  <si>
    <t>Выпечка</t>
  </si>
  <si>
    <t>Наименование</t>
  </si>
  <si>
    <t>Выход /гр</t>
  </si>
  <si>
    <t>Грамм /чел</t>
  </si>
  <si>
    <t>Цена</t>
  </si>
  <si>
    <t>Кол-во</t>
  </si>
  <si>
    <t>Сумма</t>
  </si>
  <si>
    <t>Мини-пирожки</t>
  </si>
  <si>
    <t>Мини-пышка с брусникой</t>
  </si>
  <si>
    <t>Сектора</t>
  </si>
  <si>
    <t>Мини-пышки / мясом</t>
  </si>
  <si>
    <t>Мини-пышки / яйцом</t>
  </si>
  <si>
    <t>СЭНДВИЧИ</t>
  </si>
  <si>
    <t>1/2 сендвича  с курицей</t>
  </si>
  <si>
    <t xml:space="preserve">Каравай </t>
  </si>
  <si>
    <t>1/2 сендвича с паштетом из тунца</t>
  </si>
  <si>
    <t>ДЕСЕРТЫ</t>
  </si>
  <si>
    <t>Мини-брауни</t>
  </si>
  <si>
    <t>Палочки бисквитные к шоколадному фонтану</t>
  </si>
  <si>
    <t>Мини-Опера</t>
  </si>
  <si>
    <t>Фрукты</t>
  </si>
  <si>
    <t>Яблоки сезонные ( маленькие )</t>
  </si>
  <si>
    <t>Бананы мини</t>
  </si>
  <si>
    <t>сектора</t>
  </si>
  <si>
    <t>Слива</t>
  </si>
  <si>
    <t>Лимон нарезка</t>
  </si>
  <si>
    <t>Итого кухня</t>
  </si>
  <si>
    <t>Итого грамм на персону без напитков</t>
  </si>
  <si>
    <t xml:space="preserve">Безалкогольные напитки </t>
  </si>
  <si>
    <t>Чай пакетированный</t>
  </si>
  <si>
    <t>Кофе "Эспрессо", "Американо"</t>
  </si>
  <si>
    <t>30/120</t>
  </si>
  <si>
    <t>Сливки порционные</t>
  </si>
  <si>
    <t xml:space="preserve">Итого бар </t>
  </si>
  <si>
    <t>Аренда, услуги, логистика</t>
  </si>
  <si>
    <t>ИТОГО ПО ВСЕМ РАЗДЕЛАМ</t>
  </si>
  <si>
    <t>Итого по всем разделам на персону</t>
  </si>
  <si>
    <t>Фуршетные закуски</t>
  </si>
  <si>
    <t>Блинчик с курицей</t>
  </si>
  <si>
    <t>Мармит</t>
  </si>
  <si>
    <t xml:space="preserve">Блинчик с творогом </t>
  </si>
  <si>
    <t>Блин со сметаной</t>
  </si>
  <si>
    <t>Десерт</t>
  </si>
  <si>
    <t>Маффин шоколадный</t>
  </si>
  <si>
    <t xml:space="preserve">Маффин с черникой </t>
  </si>
  <si>
    <t>Поднос</t>
  </si>
  <si>
    <t>Выпечка, бутерброды</t>
  </si>
  <si>
    <t>Мини-пирожок с капустой и яйцом</t>
  </si>
  <si>
    <t>Мини-пирожки с картофелем</t>
  </si>
  <si>
    <t>поднос</t>
  </si>
  <si>
    <t>Мини-пирожки с мясом</t>
  </si>
  <si>
    <t>Минни пицца</t>
  </si>
  <si>
    <t>ФРУКТЫ</t>
  </si>
  <si>
    <t>Лимон в нарезке</t>
  </si>
  <si>
    <t xml:space="preserve">Яблоки сезонные </t>
  </si>
  <si>
    <t>Рафаэлло /Нежный паштет из цыпленка, огурцов и сыра "Рикотта" и "Грана Падано"/</t>
  </si>
  <si>
    <t>Этажерки</t>
  </si>
  <si>
    <t>Мясная закуска из ростбифа, телячьего языка и кремом из сыра Филадельфия</t>
  </si>
  <si>
    <t xml:space="preserve">Наполеон с курицей </t>
  </si>
  <si>
    <t>Мини-Красный бархат</t>
  </si>
  <si>
    <t>Безе</t>
  </si>
  <si>
    <t>Нон с сыром</t>
  </si>
  <si>
    <t>Этажерка 3 Яруса</t>
  </si>
  <si>
    <t>Сырники со сметаной</t>
  </si>
  <si>
    <t>1/2 сендвича с ветчиной и сыром</t>
  </si>
  <si>
    <t>1/2 сендвича с индейкой и беконом</t>
  </si>
  <si>
    <t>Мини-медовик</t>
  </si>
  <si>
    <t>Блин с мясом</t>
  </si>
  <si>
    <t>Мармиты</t>
  </si>
  <si>
    <t xml:space="preserve">Блин розовый с вялеными томатами и сливочным сыром </t>
  </si>
  <si>
    <t>возвышения +волна</t>
  </si>
  <si>
    <t>Корзиночка песочная мини с мандариновым мармеладом</t>
  </si>
  <si>
    <t>Мини-капкейки в ассортименте/Лесная Ягода,Манго, с Сырным кремом/</t>
  </si>
  <si>
    <t>Макрони в ассортименте</t>
  </si>
  <si>
    <t>Круассан с вареной сгущенкой</t>
  </si>
  <si>
    <t>волна</t>
  </si>
  <si>
    <t>Слойка с яблоком и изюмом</t>
  </si>
  <si>
    <t xml:space="preserve">Пирог печеный с яйцом </t>
  </si>
  <si>
    <t>Мини-пирожок с творогом и вишней</t>
  </si>
  <si>
    <t>Виноград</t>
  </si>
  <si>
    <t>вазы фруктовые</t>
  </si>
  <si>
    <t>Апельсин</t>
  </si>
  <si>
    <t>Пирожок с мясом</t>
  </si>
  <si>
    <t>Пирожок с капустой и яйцом</t>
  </si>
  <si>
    <t>Пирожок с яблоком и корицей</t>
  </si>
  <si>
    <t>БУТЕРБРОДЫ</t>
  </si>
  <si>
    <t>Бутерброд с бужениной</t>
  </si>
  <si>
    <t>Бутерброд с индейкой</t>
  </si>
  <si>
    <t>Кукис шоколадный</t>
  </si>
  <si>
    <t>Круассан с ветчиной и творожным</t>
  </si>
  <si>
    <t>Круассан с курицей и сладким соусом Чили</t>
  </si>
  <si>
    <t>Смореброд с муссом из сома и чипсами из копченого сыра</t>
  </si>
  <si>
    <t>Кейк-попсы</t>
  </si>
  <si>
    <t xml:space="preserve">Печенье овсяное </t>
  </si>
  <si>
    <t>Мини-птичье молоко</t>
  </si>
  <si>
    <t>Сочень с творогом</t>
  </si>
  <si>
    <t>Мини-пирожок с яблоком</t>
  </si>
  <si>
    <t>1/2 сендвича с мягким сыром</t>
  </si>
  <si>
    <t>подносы</t>
  </si>
  <si>
    <t>Французские мини-эклеры /ваниль, шоколад, манго,мята/</t>
  </si>
  <si>
    <t>Мини-прага</t>
  </si>
  <si>
    <t>Закуски</t>
  </si>
  <si>
    <t>Эклер с куриным муссом и печеным перцем</t>
  </si>
  <si>
    <t>Эклер с муссом из сыра и брусничной глазури</t>
  </si>
  <si>
    <t>Тарталетка с мусом из куриной печени, печеной грушей и халвой</t>
  </si>
  <si>
    <t>Дата питания</t>
  </si>
  <si>
    <t>Кофе брейк</t>
  </si>
  <si>
    <t>Велком</t>
  </si>
  <si>
    <t>ИТОГО</t>
  </si>
  <si>
    <t>Питание 19.05.26</t>
  </si>
  <si>
    <t>Питание 20.05.26</t>
  </si>
  <si>
    <t>Питание 21.05.26</t>
  </si>
  <si>
    <t>Питание 22.05.26</t>
  </si>
  <si>
    <t>Общая сумма питания:</t>
  </si>
  <si>
    <t xml:space="preserve">Услуги на проведения мероприятия на день: </t>
  </si>
  <si>
    <t>Лесников Михаил Андреевич</t>
  </si>
  <si>
    <t xml:space="preserve">СБЕР </t>
  </si>
  <si>
    <t xml:space="preserve">Дата внесения </t>
  </si>
  <si>
    <t>Услуги</t>
  </si>
  <si>
    <t>Кол-во сотрудников</t>
  </si>
  <si>
    <t>Ставка</t>
  </si>
  <si>
    <t>Погрузо/разгрузочные работы</t>
  </si>
  <si>
    <t>Логистика (машина)</t>
  </si>
  <si>
    <t>Текстиль</t>
  </si>
  <si>
    <t>Услуги официанта</t>
  </si>
  <si>
    <t>Одноразовая посуда ( вилка,тарелка ЭКО,Стаканчик бумажный 0,25 л, палочка мешалочка )</t>
  </si>
  <si>
    <t>Итого услуг:</t>
  </si>
  <si>
    <t>Из расчета на человека:</t>
  </si>
  <si>
    <t>19.05 к 08:00</t>
  </si>
  <si>
    <t>20.05 к 08:00</t>
  </si>
  <si>
    <t>21.05 к 08:00</t>
  </si>
  <si>
    <t>22.05 к 08:00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</si>
</sst>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8" formatCode="h:mm;@"/>
    <numFmt numFmtId="169" formatCode="dd\.mm\.yyyy"/>
    <numFmt numFmtId="170" formatCode="#\ ##0\ &quot;₽&quot;"/>
    <numFmt numFmtId="171" formatCode="#\ ##0.000\ &quot;₽&quot;"/>
    <numFmt numFmtId="172" formatCode="#\ ##0&quot; р.&quot;"/>
  </numFmts>
  <fonts count="24">
    <font>
      <sz val="12"/>
      <color indexed="8"/>
      <name val="Verdana"/>
      <charset val="134"/>
    </font>
    <font>
      <sz val="10"/>
      <color indexed="8"/>
      <name val="Calibri"/>
      <charset val="204"/>
    </font>
    <font>
      <sz val="10"/>
      <color indexed="8"/>
      <name val="Calibri"/>
      <charset val="204"/>
    </font>
    <font>
      <b/>
      <sz val="12"/>
      <color indexed="8"/>
      <name val="Calibri"/>
      <charset val="204"/>
    </font>
    <font>
      <b/>
      <sz val="10"/>
      <color indexed="8"/>
      <name val="Calibri"/>
      <charset val="204"/>
    </font>
    <font>
      <b/>
      <sz val="8"/>
      <color indexed="8"/>
      <name val="Calibri"/>
      <charset val="204"/>
    </font>
    <font>
      <b/>
      <sz val="9"/>
      <color indexed="8"/>
      <name val="Calibri"/>
      <charset val="204"/>
    </font>
    <font>
      <u/>
      <sz val="10"/>
      <color indexed="11"/>
      <name val="Calibri"/>
      <charset val="204"/>
    </font>
    <font>
      <b/>
      <sz val="10"/>
      <color indexed="8"/>
      <name val="Times New Roman"/>
      <charset val="204"/>
    </font>
    <font>
      <sz val="10"/>
      <name val="Verdana"/>
      <charset val="204"/>
    </font>
    <font>
      <sz val="10"/>
      <color indexed="8"/>
      <name val="Verdana"/>
      <charset val="204"/>
    </font>
    <font>
      <b/>
      <sz val="12"/>
      <color indexed="8"/>
      <name val="Verdana"/>
      <charset val="204"/>
    </font>
    <font>
      <sz val="12"/>
      <name val="Verdana"/>
      <charset val="204"/>
    </font>
    <font>
      <b/>
      <sz val="12"/>
      <name val="Verdana"/>
      <charset val="204"/>
    </font>
    <font>
      <b/>
      <sz val="12"/>
      <color rgb="FFFF0000"/>
      <name val="Verdana"/>
      <charset val="134"/>
    </font>
    <font>
      <sz val="10"/>
      <color theme="0" tint="-4.9989318521683403E-2"/>
      <name val="Calibri"/>
      <charset val="204"/>
    </font>
    <font>
      <b/>
      <sz val="5"/>
      <color indexed="8"/>
      <name val="Calibri"/>
      <charset val="204"/>
    </font>
    <font>
      <sz val="10"/>
      <name val="Calibri"/>
      <charset val="204"/>
    </font>
    <font>
      <sz val="10"/>
      <color rgb="FF000000"/>
      <name val="Calibri"/>
      <charset val="204"/>
    </font>
    <font>
      <b/>
      <sz val="12"/>
      <color indexed="8"/>
      <name val="Calibri"/>
      <charset val="134"/>
    </font>
    <font>
      <b/>
      <sz val="24"/>
      <color indexed="8"/>
      <name val="Calibri"/>
      <charset val="204"/>
    </font>
    <font>
      <sz val="12"/>
      <color indexed="8"/>
      <name val="Verdana"/>
      <charset val="204"/>
    </font>
    <font>
      <sz val="9"/>
      <color indexed="8"/>
      <name val="Verdana"/>
      <family val="2"/>
      <charset val="204"/>
    </font>
    <font>
      <sz val="12"/>
      <color indexed="8"/>
      <name val="Verdana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ECD2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21" fillId="0" borderId="0" applyNumberFormat="0" applyFill="0" applyBorder="0" applyProtection="0">
      <alignment vertical="top" wrapText="1"/>
    </xf>
  </cellStyleXfs>
  <cellXfs count="201">
    <xf numFmtId="0" fontId="0" fillId="0" borderId="0" xfId="0" applyFont="1" applyAlignment="1">
      <alignment vertical="top" wrapText="1"/>
    </xf>
    <xf numFmtId="0" fontId="1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 wrapText="1"/>
    </xf>
    <xf numFmtId="0" fontId="4" fillId="5" borderId="1" xfId="0" applyNumberFormat="1" applyFont="1" applyFill="1" applyBorder="1" applyAlignment="1">
      <alignment horizontal="center" vertical="center" wrapText="1"/>
    </xf>
    <xf numFmtId="1" fontId="4" fillId="5" borderId="1" xfId="0" applyNumberFormat="1" applyFont="1" applyFill="1" applyBorder="1" applyAlignment="1">
      <alignment horizontal="center" vertical="center" wrapText="1"/>
    </xf>
    <xf numFmtId="168" fontId="1" fillId="0" borderId="1" xfId="0" applyNumberFormat="1" applyFont="1" applyBorder="1" applyAlignment="1">
      <alignment horizontal="center" vertical="center" wrapText="1"/>
    </xf>
    <xf numFmtId="168" fontId="1" fillId="0" borderId="1" xfId="0" applyNumberFormat="1" applyFont="1" applyBorder="1" applyAlignment="1">
      <alignment vertical="center" wrapText="1"/>
    </xf>
    <xf numFmtId="0" fontId="5" fillId="5" borderId="1" xfId="0" applyNumberFormat="1" applyFont="1" applyFill="1" applyBorder="1" applyAlignment="1">
      <alignment horizontal="center" vertical="center" wrapText="1"/>
    </xf>
    <xf numFmtId="169" fontId="1" fillId="0" borderId="1" xfId="0" applyNumberFormat="1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vertical="center" wrapText="1"/>
    </xf>
    <xf numFmtId="0" fontId="1" fillId="2" borderId="2" xfId="0" applyNumberFormat="1" applyFont="1" applyFill="1" applyBorder="1" applyAlignment="1">
      <alignment horizontal="left" vertical="center" wrapText="1"/>
    </xf>
    <xf numFmtId="0" fontId="8" fillId="5" borderId="2" xfId="0" applyNumberFormat="1" applyFont="1" applyFill="1" applyBorder="1" applyAlignment="1">
      <alignment horizontal="center" vertical="center" wrapText="1"/>
    </xf>
    <xf numFmtId="0" fontId="8" fillId="5" borderId="3" xfId="0" applyNumberFormat="1" applyFont="1" applyFill="1" applyBorder="1" applyAlignment="1">
      <alignment horizontal="center" vertical="center" wrapText="1"/>
    </xf>
    <xf numFmtId="0" fontId="8" fillId="5" borderId="4" xfId="0" applyNumberFormat="1" applyFont="1" applyFill="1" applyBorder="1" applyAlignment="1">
      <alignment horizontal="center" vertical="center" wrapText="1"/>
    </xf>
    <xf numFmtId="0" fontId="8" fillId="5" borderId="2" xfId="0" applyNumberFormat="1" applyFont="1" applyFill="1" applyBorder="1" applyAlignment="1">
      <alignment horizontal="right" vertical="center" wrapText="1"/>
    </xf>
    <xf numFmtId="0" fontId="8" fillId="5" borderId="3" xfId="0" applyNumberFormat="1" applyFont="1" applyFill="1" applyBorder="1" applyAlignment="1">
      <alignment horizontal="right" vertical="center" wrapText="1"/>
    </xf>
    <xf numFmtId="0" fontId="8" fillId="5" borderId="4" xfId="0" applyNumberFormat="1" applyFont="1" applyFill="1" applyBorder="1" applyAlignment="1">
      <alignment horizontal="right" vertical="center" wrapText="1"/>
    </xf>
    <xf numFmtId="170" fontId="4" fillId="5" borderId="1" xfId="0" applyNumberFormat="1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/>
    </xf>
    <xf numFmtId="0" fontId="10" fillId="8" borderId="11" xfId="0" applyFont="1" applyFill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 wrapText="1"/>
    </xf>
    <xf numFmtId="1" fontId="11" fillId="6" borderId="15" xfId="0" applyNumberFormat="1" applyFont="1" applyFill="1" applyBorder="1" applyAlignment="1">
      <alignment horizontal="center" vertical="center" wrapText="1"/>
    </xf>
    <xf numFmtId="0" fontId="11" fillId="7" borderId="16" xfId="0" applyFont="1" applyFill="1" applyBorder="1" applyAlignment="1">
      <alignment horizontal="center" vertical="center" wrapText="1"/>
    </xf>
    <xf numFmtId="0" fontId="11" fillId="8" borderId="17" xfId="0" applyFont="1" applyFill="1" applyBorder="1" applyAlignment="1">
      <alignment horizontal="center" vertical="center" wrapText="1"/>
    </xf>
    <xf numFmtId="1" fontId="11" fillId="9" borderId="18" xfId="0" applyNumberFormat="1" applyFont="1" applyFill="1" applyBorder="1" applyAlignment="1">
      <alignment horizontal="center" vertical="center" wrapText="1"/>
    </xf>
    <xf numFmtId="0" fontId="10" fillId="6" borderId="21" xfId="0" applyFont="1" applyFill="1" applyBorder="1" applyAlignment="1">
      <alignment horizontal="left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9" borderId="18" xfId="0" applyFont="1" applyFill="1" applyBorder="1" applyAlignment="1">
      <alignment horizontal="center" vertical="center" wrapText="1"/>
    </xf>
    <xf numFmtId="0" fontId="10" fillId="6" borderId="21" xfId="0" applyFont="1" applyFill="1" applyBorder="1" applyAlignment="1">
      <alignment vertical="center" wrapText="1"/>
    </xf>
    <xf numFmtId="0" fontId="12" fillId="6" borderId="19" xfId="0" applyFont="1" applyFill="1" applyBorder="1" applyAlignment="1">
      <alignment vertical="top" wrapText="1"/>
    </xf>
    <xf numFmtId="0" fontId="0" fillId="6" borderId="3" xfId="0" applyFont="1" applyFill="1" applyBorder="1" applyAlignment="1">
      <alignment vertical="top" wrapText="1"/>
    </xf>
    <xf numFmtId="0" fontId="0" fillId="6" borderId="22" xfId="0" applyFont="1" applyFill="1" applyBorder="1" applyAlignment="1">
      <alignment vertical="top" wrapText="1"/>
    </xf>
    <xf numFmtId="0" fontId="11" fillId="9" borderId="23" xfId="0" applyFont="1" applyFill="1" applyBorder="1" applyAlignment="1">
      <alignment horizontal="center" vertical="center" wrapText="1"/>
    </xf>
    <xf numFmtId="1" fontId="13" fillId="9" borderId="23" xfId="0" applyNumberFormat="1" applyFont="1" applyFill="1" applyBorder="1" applyAlignment="1">
      <alignment horizontal="center" vertical="center" wrapText="1"/>
    </xf>
    <xf numFmtId="171" fontId="14" fillId="0" borderId="0" xfId="0" applyNumberFormat="1" applyFont="1" applyAlignment="1">
      <alignment vertical="top" wrapText="1"/>
    </xf>
    <xf numFmtId="0" fontId="14" fillId="0" borderId="0" xfId="0" applyFont="1" applyAlignment="1">
      <alignment vertical="top" wrapText="1"/>
    </xf>
    <xf numFmtId="0" fontId="0" fillId="2" borderId="0" xfId="0" applyFont="1" applyFill="1" applyAlignment="1">
      <alignment vertical="top" wrapText="1"/>
    </xf>
    <xf numFmtId="0" fontId="16" fillId="5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172" fontId="1" fillId="2" borderId="1" xfId="0" applyNumberFormat="1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/>
    </xf>
    <xf numFmtId="172" fontId="4" fillId="2" borderId="1" xfId="0" applyNumberFormat="1" applyFont="1" applyFill="1" applyBorder="1" applyAlignment="1">
      <alignment horizontal="center" vertical="center" wrapText="1"/>
    </xf>
    <xf numFmtId="172" fontId="4" fillId="5" borderId="1" xfId="0" applyNumberFormat="1" applyFont="1" applyFill="1" applyBorder="1" applyAlignment="1">
      <alignment horizontal="center" vertical="center" wrapText="1"/>
    </xf>
    <xf numFmtId="1" fontId="1" fillId="5" borderId="1" xfId="0" applyNumberFormat="1" applyFont="1" applyFill="1" applyBorder="1" applyAlignment="1">
      <alignment horizontal="center" vertical="center" wrapText="1"/>
    </xf>
    <xf numFmtId="0" fontId="1" fillId="10" borderId="1" xfId="0" applyNumberFormat="1" applyFont="1" applyFill="1" applyBorder="1" applyAlignment="1">
      <alignment horizontal="center" vertical="center"/>
    </xf>
    <xf numFmtId="1" fontId="1" fillId="10" borderId="1" xfId="0" applyNumberFormat="1" applyFont="1" applyFill="1" applyBorder="1" applyAlignment="1">
      <alignment horizontal="center" vertical="center" wrapText="1"/>
    </xf>
    <xf numFmtId="170" fontId="3" fillId="5" borderId="1" xfId="0" applyNumberFormat="1" applyFont="1" applyFill="1" applyBorder="1" applyAlignment="1">
      <alignment horizontal="center" vertical="center"/>
    </xf>
    <xf numFmtId="170" fontId="1" fillId="5" borderId="1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4" fillId="2" borderId="3" xfId="0" applyNumberFormat="1" applyFont="1" applyFill="1" applyBorder="1" applyAlignment="1">
      <alignment horizontal="center" vertical="center" wrapText="1"/>
    </xf>
    <xf numFmtId="0" fontId="4" fillId="2" borderId="4" xfId="0" applyNumberFormat="1" applyFont="1" applyFill="1" applyBorder="1" applyAlignment="1">
      <alignment horizontal="center" vertical="center" wrapText="1"/>
    </xf>
    <xf numFmtId="1" fontId="1" fillId="2" borderId="3" xfId="0" applyNumberFormat="1" applyFont="1" applyFill="1" applyBorder="1" applyAlignment="1">
      <alignment horizontal="right" vertical="center" wrapText="1"/>
    </xf>
    <xf numFmtId="1" fontId="1" fillId="2" borderId="4" xfId="0" applyNumberFormat="1" applyFont="1" applyFill="1" applyBorder="1" applyAlignment="1">
      <alignment horizontal="right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0" fontId="1" fillId="11" borderId="1" xfId="0" applyNumberFormat="1" applyFont="1" applyFill="1" applyBorder="1" applyAlignment="1">
      <alignment horizontal="center" vertical="center" wrapText="1"/>
    </xf>
    <xf numFmtId="1" fontId="1" fillId="11" borderId="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Alignment="1"/>
    <xf numFmtId="0" fontId="17" fillId="2" borderId="1" xfId="0" applyNumberFormat="1" applyFont="1" applyFill="1" applyBorder="1" applyAlignment="1">
      <alignment horizontal="center" vertical="center" wrapText="1"/>
    </xf>
    <xf numFmtId="1" fontId="17" fillId="2" borderId="1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vertical="top" wrapText="1"/>
    </xf>
    <xf numFmtId="0" fontId="1" fillId="0" borderId="0" xfId="0" applyFont="1" applyBorder="1" applyAlignment="1">
      <alignment vertical="center" wrapText="1"/>
    </xf>
    <xf numFmtId="1" fontId="1" fillId="0" borderId="0" xfId="0" applyNumberFormat="1" applyFont="1" applyBorder="1" applyAlignment="1">
      <alignment horizontal="right" vertical="center" wrapText="1"/>
    </xf>
    <xf numFmtId="0" fontId="1" fillId="2" borderId="0" xfId="0" applyNumberFormat="1" applyFont="1" applyFill="1" applyAlignment="1"/>
    <xf numFmtId="0" fontId="1" fillId="0" borderId="0" xfId="0" applyNumberFormat="1" applyFont="1" applyBorder="1" applyAlignment="1">
      <alignment vertical="center" wrapText="1"/>
    </xf>
    <xf numFmtId="1" fontId="1" fillId="0" borderId="0" xfId="0" applyNumberFormat="1" applyFont="1" applyBorder="1" applyAlignment="1">
      <alignment vertical="center" wrapText="1"/>
    </xf>
    <xf numFmtId="0" fontId="1" fillId="2" borderId="0" xfId="0" applyNumberFormat="1" applyFont="1" applyFill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0" borderId="0" xfId="0" applyNumberFormat="1" applyFont="1" applyBorder="1" applyAlignment="1"/>
    <xf numFmtId="0" fontId="15" fillId="0" borderId="0" xfId="0" applyFont="1" applyBorder="1" applyAlignment="1">
      <alignment horizontal="center" vertical="center" wrapText="1"/>
    </xf>
    <xf numFmtId="0" fontId="1" fillId="0" borderId="0" xfId="0" applyNumberFormat="1" applyFont="1" applyBorder="1" applyAlignment="1">
      <alignment horizontal="right" vertical="center" wrapText="1"/>
    </xf>
    <xf numFmtId="1" fontId="1" fillId="0" borderId="0" xfId="0" applyNumberFormat="1" applyFont="1" applyBorder="1" applyAlignment="1">
      <alignment horizontal="right" vertical="center" wrapText="1"/>
    </xf>
    <xf numFmtId="0" fontId="3" fillId="5" borderId="1" xfId="0" applyNumberFormat="1" applyFont="1" applyFill="1" applyBorder="1" applyAlignment="1">
      <alignment horizontal="center" vertical="center" wrapText="1"/>
    </xf>
    <xf numFmtId="1" fontId="3" fillId="5" borderId="1" xfId="0" applyNumberFormat="1" applyFont="1" applyFill="1" applyBorder="1" applyAlignment="1">
      <alignment horizontal="center" vertical="center" wrapText="1"/>
    </xf>
    <xf numFmtId="1" fontId="4" fillId="5" borderId="2" xfId="0" applyNumberFormat="1" applyFont="1" applyFill="1" applyBorder="1" applyAlignment="1">
      <alignment horizontal="center" vertical="center" wrapText="1"/>
    </xf>
    <xf numFmtId="1" fontId="4" fillId="5" borderId="3" xfId="0" applyNumberFormat="1" applyFont="1" applyFill="1" applyBorder="1" applyAlignment="1">
      <alignment horizontal="center" vertical="center" wrapText="1"/>
    </xf>
    <xf numFmtId="1" fontId="4" fillId="5" borderId="4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4" fillId="5" borderId="1" xfId="0" applyNumberFormat="1" applyFont="1" applyFill="1" applyBorder="1" applyAlignment="1">
      <alignment horizontal="center" vertical="center" wrapText="1"/>
    </xf>
    <xf numFmtId="1" fontId="4" fillId="5" borderId="1" xfId="0" applyNumberFormat="1" applyFont="1" applyFill="1" applyBorder="1" applyAlignment="1">
      <alignment horizontal="center" vertical="center" wrapText="1"/>
    </xf>
    <xf numFmtId="0" fontId="6" fillId="5" borderId="1" xfId="0" applyNumberFormat="1" applyFont="1" applyFill="1" applyBorder="1" applyAlignment="1">
      <alignment horizontal="center" vertical="center" wrapText="1"/>
    </xf>
    <xf numFmtId="1" fontId="6" fillId="5" borderId="1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vertical="center" wrapText="1"/>
    </xf>
    <xf numFmtId="1" fontId="7" fillId="0" borderId="1" xfId="0" applyNumberFormat="1" applyFont="1" applyBorder="1" applyAlignment="1">
      <alignment horizontal="center" vertical="center" wrapText="1"/>
    </xf>
    <xf numFmtId="0" fontId="3" fillId="5" borderId="2" xfId="0" applyNumberFormat="1" applyFont="1" applyFill="1" applyBorder="1" applyAlignment="1">
      <alignment horizontal="center" vertical="center" wrapText="1"/>
    </xf>
    <xf numFmtId="0" fontId="3" fillId="5" borderId="3" xfId="0" applyNumberFormat="1" applyFont="1" applyFill="1" applyBorder="1" applyAlignment="1">
      <alignment horizontal="center" vertical="center" wrapText="1"/>
    </xf>
    <xf numFmtId="0" fontId="3" fillId="5" borderId="4" xfId="0" applyNumberFormat="1" applyFont="1" applyFill="1" applyBorder="1" applyAlignment="1">
      <alignment horizontal="center" vertical="center" wrapText="1"/>
    </xf>
    <xf numFmtId="0" fontId="4" fillId="5" borderId="2" xfId="0" applyNumberFormat="1" applyFont="1" applyFill="1" applyBorder="1" applyAlignment="1">
      <alignment horizontal="center" vertical="center" wrapText="1"/>
    </xf>
    <xf numFmtId="0" fontId="4" fillId="5" borderId="3" xfId="0" applyNumberFormat="1" applyFont="1" applyFill="1" applyBorder="1" applyAlignment="1">
      <alignment horizontal="center" vertical="center" wrapText="1"/>
    </xf>
    <xf numFmtId="0" fontId="4" fillId="5" borderId="4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left" vertical="center" wrapText="1"/>
    </xf>
    <xf numFmtId="0" fontId="1" fillId="2" borderId="3" xfId="0" applyNumberFormat="1" applyFont="1" applyFill="1" applyBorder="1" applyAlignment="1">
      <alignment horizontal="left" vertical="center" wrapText="1"/>
    </xf>
    <xf numFmtId="0" fontId="1" fillId="2" borderId="4" xfId="0" applyNumberFormat="1" applyFont="1" applyFill="1" applyBorder="1" applyAlignment="1">
      <alignment horizontal="left" vertical="center" wrapText="1"/>
    </xf>
    <xf numFmtId="0" fontId="18" fillId="0" borderId="2" xfId="0" applyNumberFormat="1" applyFont="1" applyFill="1" applyBorder="1" applyAlignment="1">
      <alignment horizontal="left" vertical="center" wrapText="1"/>
    </xf>
    <xf numFmtId="0" fontId="1" fillId="0" borderId="3" xfId="0" applyNumberFormat="1" applyFont="1" applyFill="1" applyBorder="1" applyAlignment="1">
      <alignment horizontal="left" vertical="center" wrapText="1"/>
    </xf>
    <xf numFmtId="0" fontId="1" fillId="0" borderId="4" xfId="0" applyNumberFormat="1" applyFont="1" applyFill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1" xfId="0" applyFont="1" applyFill="1" applyBorder="1" applyAlignment="1">
      <alignment horizontal="left" vertical="center" wrapText="1"/>
    </xf>
    <xf numFmtId="0" fontId="1" fillId="0" borderId="2" xfId="0" applyNumberFormat="1" applyFont="1" applyFill="1" applyBorder="1" applyAlignment="1">
      <alignment vertical="center" wrapText="1"/>
    </xf>
    <xf numFmtId="0" fontId="1" fillId="0" borderId="3" xfId="0" applyNumberFormat="1" applyFont="1" applyFill="1" applyBorder="1" applyAlignment="1">
      <alignment vertical="center" wrapText="1"/>
    </xf>
    <xf numFmtId="0" fontId="1" fillId="0" borderId="4" xfId="0" applyNumberFormat="1" applyFont="1" applyFill="1" applyBorder="1" applyAlignment="1">
      <alignment vertical="center" wrapText="1"/>
    </xf>
    <xf numFmtId="0" fontId="1" fillId="0" borderId="2" xfId="0" applyNumberFormat="1" applyFont="1" applyFill="1" applyBorder="1" applyAlignment="1">
      <alignment horizontal="left" vertical="center" wrapText="1"/>
    </xf>
    <xf numFmtId="0" fontId="4" fillId="5" borderId="1" xfId="0" applyNumberFormat="1" applyFont="1" applyFill="1" applyBorder="1" applyAlignment="1">
      <alignment horizontal="right" vertical="center" wrapText="1"/>
    </xf>
    <xf numFmtId="1" fontId="4" fillId="5" borderId="1" xfId="0" applyNumberFormat="1" applyFont="1" applyFill="1" applyBorder="1" applyAlignment="1">
      <alignment horizontal="right" vertical="center" wrapText="1"/>
    </xf>
    <xf numFmtId="0" fontId="1" fillId="5" borderId="1" xfId="0" applyNumberFormat="1" applyFont="1" applyFill="1" applyBorder="1" applyAlignment="1">
      <alignment horizontal="right" vertical="center" wrapText="1"/>
    </xf>
    <xf numFmtId="1" fontId="1" fillId="5" borderId="1" xfId="0" applyNumberFormat="1" applyFont="1" applyFill="1" applyBorder="1" applyAlignment="1">
      <alignment horizontal="right" vertical="center" wrapText="1"/>
    </xf>
    <xf numFmtId="0" fontId="1" fillId="10" borderId="1" xfId="0" applyNumberFormat="1" applyFont="1" applyFill="1" applyBorder="1" applyAlignment="1">
      <alignment horizontal="left" vertical="center" wrapText="1"/>
    </xf>
    <xf numFmtId="1" fontId="1" fillId="10" borderId="1" xfId="0" applyNumberFormat="1" applyFont="1" applyFill="1" applyBorder="1" applyAlignment="1">
      <alignment horizontal="left" vertical="center" wrapText="1"/>
    </xf>
    <xf numFmtId="0" fontId="4" fillId="5" borderId="2" xfId="0" applyNumberFormat="1" applyFont="1" applyFill="1" applyBorder="1" applyAlignment="1">
      <alignment horizontal="right" vertical="center" wrapText="1"/>
    </xf>
    <xf numFmtId="0" fontId="4" fillId="5" borderId="3" xfId="0" applyNumberFormat="1" applyFont="1" applyFill="1" applyBorder="1" applyAlignment="1">
      <alignment horizontal="right" vertical="center" wrapText="1"/>
    </xf>
    <xf numFmtId="0" fontId="4" fillId="5" borderId="4" xfId="0" applyNumberFormat="1" applyFont="1" applyFill="1" applyBorder="1" applyAlignment="1">
      <alignment horizontal="right" vertical="center" wrapText="1"/>
    </xf>
    <xf numFmtId="0" fontId="3" fillId="5" borderId="1" xfId="0" applyNumberFormat="1" applyFont="1" applyFill="1" applyBorder="1" applyAlignment="1">
      <alignment horizontal="right" vertical="center" wrapText="1"/>
    </xf>
    <xf numFmtId="1" fontId="3" fillId="5" borderId="1" xfId="0" applyNumberFormat="1" applyFont="1" applyFill="1" applyBorder="1" applyAlignment="1">
      <alignment horizontal="right" vertical="center" wrapText="1"/>
    </xf>
    <xf numFmtId="1" fontId="20" fillId="0" borderId="0" xfId="0" applyNumberFormat="1" applyFont="1" applyBorder="1" applyAlignment="1">
      <alignment horizontal="right" vertical="center" wrapText="1"/>
    </xf>
    <xf numFmtId="1" fontId="20" fillId="0" borderId="24" xfId="0" applyNumberFormat="1" applyFont="1" applyBorder="1" applyAlignment="1">
      <alignment horizontal="right" vertical="center" wrapText="1"/>
    </xf>
    <xf numFmtId="0" fontId="17" fillId="2" borderId="2" xfId="0" applyNumberFormat="1" applyFont="1" applyFill="1" applyBorder="1" applyAlignment="1">
      <alignment horizontal="left" vertical="center" wrapText="1"/>
    </xf>
    <xf numFmtId="0" fontId="17" fillId="2" borderId="3" xfId="0" applyNumberFormat="1" applyFont="1" applyFill="1" applyBorder="1" applyAlignment="1">
      <alignment horizontal="left" vertical="center" wrapText="1"/>
    </xf>
    <xf numFmtId="0" fontId="17" fillId="2" borderId="4" xfId="0" applyNumberFormat="1" applyFont="1" applyFill="1" applyBorder="1" applyAlignment="1">
      <alignment horizontal="left" vertical="center" wrapText="1"/>
    </xf>
    <xf numFmtId="0" fontId="1" fillId="10" borderId="2" xfId="0" applyNumberFormat="1" applyFont="1" applyFill="1" applyBorder="1" applyAlignment="1">
      <alignment horizontal="left" vertical="center" wrapText="1"/>
    </xf>
    <xf numFmtId="0" fontId="1" fillId="10" borderId="3" xfId="0" applyNumberFormat="1" applyFont="1" applyFill="1" applyBorder="1" applyAlignment="1">
      <alignment horizontal="left" vertical="center" wrapText="1"/>
    </xf>
    <xf numFmtId="0" fontId="1" fillId="10" borderId="4" xfId="0" applyNumberFormat="1" applyFont="1" applyFill="1" applyBorder="1" applyAlignment="1">
      <alignment horizontal="left" vertical="center" wrapText="1"/>
    </xf>
    <xf numFmtId="0" fontId="1" fillId="0" borderId="2" xfId="0" applyNumberFormat="1" applyFont="1" applyBorder="1" applyAlignment="1">
      <alignment horizontal="left" vertical="center" wrapText="1"/>
    </xf>
    <xf numFmtId="0" fontId="1" fillId="0" borderId="3" xfId="0" applyNumberFormat="1" applyFont="1" applyBorder="1" applyAlignment="1">
      <alignment horizontal="left" vertical="center" wrapText="1"/>
    </xf>
    <xf numFmtId="0" fontId="1" fillId="0" borderId="4" xfId="0" applyNumberFormat="1" applyFont="1" applyBorder="1" applyAlignment="1">
      <alignment horizontal="left" vertical="center" wrapText="1"/>
    </xf>
    <xf numFmtId="0" fontId="1" fillId="0" borderId="1" xfId="0" applyNumberFormat="1" applyFont="1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left" vertical="center" wrapText="1"/>
    </xf>
    <xf numFmtId="0" fontId="1" fillId="2" borderId="1" xfId="0" applyNumberFormat="1" applyFont="1" applyFill="1" applyBorder="1" applyAlignment="1">
      <alignment horizontal="left" vertical="center" wrapText="1"/>
    </xf>
    <xf numFmtId="0" fontId="0" fillId="0" borderId="0" xfId="0" applyFont="1" applyAlignment="1">
      <alignment vertical="center" wrapText="1"/>
    </xf>
    <xf numFmtId="0" fontId="0" fillId="0" borderId="24" xfId="0" applyFont="1" applyBorder="1" applyAlignment="1">
      <alignment vertical="center" wrapText="1"/>
    </xf>
    <xf numFmtId="0" fontId="1" fillId="11" borderId="2" xfId="0" applyNumberFormat="1" applyFont="1" applyFill="1" applyBorder="1" applyAlignment="1">
      <alignment horizontal="left" vertical="center" wrapText="1"/>
    </xf>
    <xf numFmtId="0" fontId="1" fillId="11" borderId="3" xfId="0" applyNumberFormat="1" applyFont="1" applyFill="1" applyBorder="1" applyAlignment="1">
      <alignment horizontal="left" vertical="center" wrapText="1"/>
    </xf>
    <xf numFmtId="0" fontId="1" fillId="11" borderId="4" xfId="0" applyNumberFormat="1" applyFont="1" applyFill="1" applyBorder="1" applyAlignment="1">
      <alignment horizontal="left" vertical="center" wrapText="1"/>
    </xf>
    <xf numFmtId="0" fontId="17" fillId="0" borderId="2" xfId="0" applyFont="1" applyFill="1" applyBorder="1" applyAlignment="1">
      <alignment horizontal="left" vertical="center" wrapText="1"/>
    </xf>
    <xf numFmtId="0" fontId="17" fillId="0" borderId="3" xfId="0" applyFont="1" applyFill="1" applyBorder="1" applyAlignment="1">
      <alignment horizontal="left" vertical="center" wrapText="1"/>
    </xf>
    <xf numFmtId="0" fontId="17" fillId="0" borderId="4" xfId="0" applyFont="1" applyFill="1" applyBorder="1" applyAlignment="1">
      <alignment horizontal="left" vertical="center" wrapText="1"/>
    </xf>
    <xf numFmtId="0" fontId="17" fillId="0" borderId="2" xfId="0" applyFont="1" applyFill="1" applyBorder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0" fillId="0" borderId="4" xfId="0" applyFont="1" applyBorder="1" applyAlignment="1">
      <alignment vertical="center" wrapText="1"/>
    </xf>
    <xf numFmtId="0" fontId="17" fillId="0" borderId="2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center" wrapText="1"/>
    </xf>
    <xf numFmtId="0" fontId="19" fillId="5" borderId="2" xfId="0" applyNumberFormat="1" applyFont="1" applyFill="1" applyBorder="1" applyAlignment="1">
      <alignment horizontal="center" vertical="center" wrapText="1"/>
    </xf>
    <xf numFmtId="0" fontId="1" fillId="5" borderId="1" xfId="0" applyNumberFormat="1" applyFont="1" applyFill="1" applyBorder="1" applyAlignment="1">
      <alignment horizontal="center" vertical="center" wrapText="1"/>
    </xf>
    <xf numFmtId="1" fontId="1" fillId="5" borderId="1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vertical="top" wrapText="1"/>
    </xf>
    <xf numFmtId="0" fontId="0" fillId="0" borderId="24" xfId="0" applyFont="1" applyBorder="1" applyAlignment="1">
      <alignment vertical="top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1" fillId="0" borderId="1" xfId="0" applyNumberFormat="1" applyFont="1" applyFill="1" applyBorder="1" applyAlignment="1">
      <alignment horizontal="left" vertical="center" wrapText="1"/>
    </xf>
    <xf numFmtId="1" fontId="1" fillId="0" borderId="1" xfId="0" applyNumberFormat="1" applyFont="1" applyFill="1" applyBorder="1" applyAlignment="1">
      <alignment horizontal="left" vertical="center" wrapText="1"/>
    </xf>
    <xf numFmtId="0" fontId="1" fillId="5" borderId="2" xfId="0" applyNumberFormat="1" applyFont="1" applyFill="1" applyBorder="1" applyAlignment="1">
      <alignment horizontal="center" vertical="center" wrapText="1"/>
    </xf>
    <xf numFmtId="0" fontId="1" fillId="5" borderId="3" xfId="0" applyNumberFormat="1" applyFont="1" applyFill="1" applyBorder="1" applyAlignment="1">
      <alignment horizontal="center" vertical="center" wrapText="1"/>
    </xf>
    <xf numFmtId="0" fontId="1" fillId="5" borderId="4" xfId="0" applyNumberFormat="1" applyFont="1" applyFill="1" applyBorder="1" applyAlignment="1">
      <alignment horizontal="center" vertical="center" wrapText="1"/>
    </xf>
    <xf numFmtId="0" fontId="1" fillId="5" borderId="2" xfId="0" applyNumberFormat="1" applyFont="1" applyFill="1" applyBorder="1" applyAlignment="1">
      <alignment horizontal="right" vertical="center" wrapText="1"/>
    </xf>
    <xf numFmtId="0" fontId="1" fillId="5" borderId="3" xfId="0" applyNumberFormat="1" applyFont="1" applyFill="1" applyBorder="1" applyAlignment="1">
      <alignment horizontal="right" vertical="center" wrapText="1"/>
    </xf>
    <xf numFmtId="0" fontId="1" fillId="5" borderId="4" xfId="0" applyNumberFormat="1" applyFont="1" applyFill="1" applyBorder="1" applyAlignment="1">
      <alignment horizontal="right" vertical="center" wrapText="1"/>
    </xf>
    <xf numFmtId="0" fontId="3" fillId="5" borderId="2" xfId="0" applyNumberFormat="1" applyFont="1" applyFill="1" applyBorder="1" applyAlignment="1">
      <alignment horizontal="right" vertical="center" wrapText="1"/>
    </xf>
    <xf numFmtId="0" fontId="3" fillId="5" borderId="3" xfId="0" applyNumberFormat="1" applyFont="1" applyFill="1" applyBorder="1" applyAlignment="1">
      <alignment horizontal="right" vertical="center" wrapText="1"/>
    </xf>
    <xf numFmtId="0" fontId="3" fillId="5" borderId="4" xfId="0" applyNumberFormat="1" applyFont="1" applyFill="1" applyBorder="1" applyAlignment="1">
      <alignment horizontal="right" vertical="center" wrapText="1"/>
    </xf>
    <xf numFmtId="0" fontId="9" fillId="6" borderId="13" xfId="0" applyFont="1" applyFill="1" applyBorder="1" applyAlignment="1">
      <alignment horizontal="left" vertical="center" wrapText="1"/>
    </xf>
    <xf numFmtId="0" fontId="0" fillId="6" borderId="14" xfId="0" applyFont="1" applyFill="1" applyBorder="1" applyAlignment="1">
      <alignment horizontal="left" vertical="center" wrapText="1"/>
    </xf>
    <xf numFmtId="0" fontId="9" fillId="6" borderId="19" xfId="0" applyFont="1" applyFill="1" applyBorder="1" applyAlignment="1">
      <alignment horizontal="left" vertical="center" wrapText="1"/>
    </xf>
    <xf numFmtId="0" fontId="0" fillId="6" borderId="20" xfId="0" applyFont="1" applyFill="1" applyBorder="1" applyAlignment="1">
      <alignment horizontal="left" vertical="center" wrapText="1"/>
    </xf>
    <xf numFmtId="0" fontId="9" fillId="6" borderId="19" xfId="0" applyFont="1" applyFill="1" applyBorder="1" applyAlignment="1">
      <alignment vertical="center" wrapText="1"/>
    </xf>
    <xf numFmtId="0" fontId="0" fillId="6" borderId="20" xfId="0" applyFont="1" applyFill="1" applyBorder="1" applyAlignment="1">
      <alignment vertical="center" wrapText="1"/>
    </xf>
    <xf numFmtId="0" fontId="12" fillId="6" borderId="19" xfId="0" applyFont="1" applyFill="1" applyBorder="1" applyAlignment="1">
      <alignment horizontal="right" vertical="top" wrapText="1"/>
    </xf>
    <xf numFmtId="0" fontId="0" fillId="0" borderId="3" xfId="0" applyFont="1" applyBorder="1" applyAlignment="1">
      <alignment horizontal="right" vertical="top" wrapText="1"/>
    </xf>
    <xf numFmtId="0" fontId="0" fillId="0" borderId="24" xfId="0" applyFont="1" applyBorder="1" applyAlignment="1">
      <alignment horizontal="right" vertical="top" wrapText="1"/>
    </xf>
    <xf numFmtId="0" fontId="0" fillId="0" borderId="4" xfId="0" applyFont="1" applyBorder="1" applyAlignment="1">
      <alignment horizontal="right" vertical="top" wrapText="1"/>
    </xf>
    <xf numFmtId="0" fontId="0" fillId="0" borderId="6" xfId="0" applyFont="1" applyBorder="1" applyAlignment="1">
      <alignment vertical="top" wrapText="1"/>
    </xf>
    <xf numFmtId="0" fontId="1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left" vertical="center" wrapText="1"/>
    </xf>
    <xf numFmtId="0" fontId="1" fillId="2" borderId="1" xfId="0" applyNumberFormat="1" applyFont="1" applyFill="1" applyBorder="1" applyAlignment="1">
      <alignment horizontal="center" vertical="center"/>
    </xf>
    <xf numFmtId="0" fontId="8" fillId="5" borderId="2" xfId="0" applyNumberFormat="1" applyFont="1" applyFill="1" applyBorder="1" applyAlignment="1">
      <alignment horizontal="center" vertical="center" wrapText="1"/>
    </xf>
    <xf numFmtId="0" fontId="8" fillId="5" borderId="3" xfId="0" applyNumberFormat="1" applyFont="1" applyFill="1" applyBorder="1" applyAlignment="1">
      <alignment horizontal="center" vertical="center" wrapText="1"/>
    </xf>
    <xf numFmtId="0" fontId="8" fillId="5" borderId="4" xfId="0" applyNumberFormat="1" applyFont="1" applyFill="1" applyBorder="1" applyAlignment="1">
      <alignment horizontal="center" vertical="center" wrapText="1"/>
    </xf>
    <xf numFmtId="0" fontId="8" fillId="5" borderId="2" xfId="0" applyNumberFormat="1" applyFont="1" applyFill="1" applyBorder="1" applyAlignment="1">
      <alignment horizontal="right" vertical="center" wrapText="1"/>
    </xf>
    <xf numFmtId="0" fontId="8" fillId="5" borderId="3" xfId="0" applyNumberFormat="1" applyFont="1" applyFill="1" applyBorder="1" applyAlignment="1">
      <alignment horizontal="right" vertical="center" wrapText="1"/>
    </xf>
    <xf numFmtId="0" fontId="8" fillId="5" borderId="4" xfId="0" applyNumberFormat="1" applyFont="1" applyFill="1" applyBorder="1" applyAlignment="1">
      <alignment horizontal="right" vertical="center" wrapText="1"/>
    </xf>
    <xf numFmtId="0" fontId="8" fillId="5" borderId="1" xfId="0" applyNumberFormat="1" applyFont="1" applyFill="1" applyBorder="1" applyAlignment="1">
      <alignment horizontal="right" vertical="center" wrapText="1"/>
    </xf>
    <xf numFmtId="0" fontId="0" fillId="0" borderId="5" xfId="0" applyFont="1" applyBorder="1" applyAlignment="1">
      <alignment vertical="top" wrapText="1"/>
    </xf>
    <xf numFmtId="0" fontId="22" fillId="0" borderId="25" xfId="0" applyFont="1" applyBorder="1" applyAlignment="1">
      <alignment vertical="top" wrapText="1"/>
    </xf>
    <xf numFmtId="0" fontId="23" fillId="0" borderId="0" xfId="0" applyFont="1" applyAlignment="1">
      <alignment vertical="top" wrapText="1"/>
    </xf>
  </cellXfs>
  <cellStyles count="2">
    <cellStyle name="Обычный" xfId="0" builtinId="0"/>
    <cellStyle name="Обычный 2" xfId="1" xr:uid="{00000000-0005-0000-0000-000031000000}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AAAAA"/>
      <rgbColor rgb="00C0C0C0"/>
      <rgbColor rgb="000000FF"/>
      <rgbColor rgb="00FFFFFF"/>
      <rgbColor rgb="00BFBFBF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ED3E0"/>
      <color rgb="FFFFEC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8</xdr:col>
      <xdr:colOff>231140</xdr:colOff>
      <xdr:row>4</xdr:row>
      <xdr:rowOff>84283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09775" y="0"/>
          <a:ext cx="2707640" cy="9791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28574</xdr:rowOff>
    </xdr:from>
    <xdr:to>
      <xdr:col>8</xdr:col>
      <xdr:colOff>38100</xdr:colOff>
      <xdr:row>3</xdr:row>
      <xdr:rowOff>295274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14475" y="27940"/>
          <a:ext cx="3009900" cy="12172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0</xdr:rowOff>
    </xdr:from>
    <xdr:to>
      <xdr:col>8</xdr:col>
      <xdr:colOff>9525</xdr:colOff>
      <xdr:row>3</xdr:row>
      <xdr:rowOff>276225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85900" y="0"/>
          <a:ext cx="3009900" cy="12268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133350</xdr:rowOff>
    </xdr:from>
    <xdr:to>
      <xdr:col>7</xdr:col>
      <xdr:colOff>231140</xdr:colOff>
      <xdr:row>3</xdr:row>
      <xdr:rowOff>302895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14475" y="133350"/>
          <a:ext cx="2707640" cy="11201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0</xdr:row>
      <xdr:rowOff>57149</xdr:rowOff>
    </xdr:from>
    <xdr:to>
      <xdr:col>7</xdr:col>
      <xdr:colOff>345440</xdr:colOff>
      <xdr:row>3</xdr:row>
      <xdr:rowOff>209549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28775" y="56515"/>
          <a:ext cx="2707640" cy="110299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133350</xdr:colOff>
      <xdr:row>0</xdr:row>
      <xdr:rowOff>76200</xdr:rowOff>
    </xdr:from>
    <xdr:to>
      <xdr:col>7</xdr:col>
      <xdr:colOff>364490</xdr:colOff>
      <xdr:row>3</xdr:row>
      <xdr:rowOff>228600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47825" y="76200"/>
          <a:ext cx="2707640" cy="110299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0</xdr:row>
      <xdr:rowOff>171450</xdr:rowOff>
    </xdr:from>
    <xdr:to>
      <xdr:col>7</xdr:col>
      <xdr:colOff>212090</xdr:colOff>
      <xdr:row>3</xdr:row>
      <xdr:rowOff>217170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95425" y="171450"/>
          <a:ext cx="2707640" cy="99631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0</xdr:row>
      <xdr:rowOff>209550</xdr:rowOff>
    </xdr:from>
    <xdr:to>
      <xdr:col>7</xdr:col>
      <xdr:colOff>307340</xdr:colOff>
      <xdr:row>3</xdr:row>
      <xdr:rowOff>255270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90675" y="209550"/>
          <a:ext cx="2707640" cy="99631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257175</xdr:colOff>
      <xdr:row>0</xdr:row>
      <xdr:rowOff>133350</xdr:rowOff>
    </xdr:from>
    <xdr:to>
      <xdr:col>7</xdr:col>
      <xdr:colOff>488315</xdr:colOff>
      <xdr:row>3</xdr:row>
      <xdr:rowOff>179070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71650" y="133350"/>
          <a:ext cx="2707640" cy="99631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0</xdr:row>
      <xdr:rowOff>123825</xdr:rowOff>
    </xdr:from>
    <xdr:to>
      <xdr:col>4</xdr:col>
      <xdr:colOff>640715</xdr:colOff>
      <xdr:row>3</xdr:row>
      <xdr:rowOff>169545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04925" y="123825"/>
          <a:ext cx="2764790" cy="99631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114300</xdr:colOff>
      <xdr:row>18</xdr:row>
      <xdr:rowOff>57150</xdr:rowOff>
    </xdr:from>
    <xdr:to>
      <xdr:col>6</xdr:col>
      <xdr:colOff>126365</xdr:colOff>
      <xdr:row>23</xdr:row>
      <xdr:rowOff>93345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28900" y="3829050"/>
          <a:ext cx="2707640" cy="9886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79992065187536243"/>
  </sheetPr>
  <dimension ref="A1:II43"/>
  <sheetViews>
    <sheetView showGridLines="0" topLeftCell="A19" workbookViewId="0">
      <selection activeCell="K30" sqref="K30"/>
    </sheetView>
  </sheetViews>
  <sheetFormatPr defaultColWidth="6.59765625" defaultRowHeight="15" customHeight="1"/>
  <cols>
    <col min="1" max="1" width="10.69921875" style="72" customWidth="1"/>
    <col min="2" max="9" width="5.19921875" style="72" customWidth="1"/>
    <col min="10" max="10" width="10.69921875" style="72" customWidth="1"/>
    <col min="11" max="11" width="8.5" style="72" customWidth="1"/>
    <col min="12" max="243" width="6.59765625" style="72" customWidth="1"/>
    <col min="244" max="16384" width="6.59765625" style="77"/>
  </cols>
  <sheetData>
    <row r="1" spans="1:243" ht="12.75" customHeight="1">
      <c r="A1" s="86"/>
      <c r="B1" s="86"/>
      <c r="C1" s="86"/>
      <c r="D1" s="78"/>
      <c r="E1" s="87"/>
      <c r="F1" s="87"/>
      <c r="G1" s="88"/>
      <c r="H1" s="88"/>
      <c r="I1" s="88"/>
      <c r="J1" s="88"/>
      <c r="K1" s="80"/>
    </row>
    <row r="2" spans="1:243" ht="13.5" customHeight="1">
      <c r="A2" s="86"/>
      <c r="B2" s="86"/>
      <c r="C2" s="86"/>
      <c r="D2" s="78"/>
      <c r="E2" s="78"/>
      <c r="F2" s="78"/>
      <c r="G2" s="79"/>
      <c r="H2" s="78"/>
      <c r="I2" s="87"/>
      <c r="J2" s="88"/>
      <c r="K2" s="80"/>
    </row>
    <row r="3" spans="1:243" ht="15" customHeight="1">
      <c r="A3" s="86"/>
      <c r="B3" s="86"/>
      <c r="C3" s="86"/>
      <c r="D3" s="78"/>
      <c r="E3" s="81"/>
      <c r="F3" s="81"/>
      <c r="G3" s="82"/>
      <c r="H3" s="82"/>
      <c r="I3" s="130"/>
      <c r="J3" s="130"/>
      <c r="K3" s="80"/>
    </row>
    <row r="4" spans="1:243" ht="29.25" customHeight="1">
      <c r="A4" s="78"/>
      <c r="B4" s="78"/>
      <c r="C4" s="78"/>
      <c r="D4" s="78"/>
      <c r="E4" s="78"/>
      <c r="F4" s="78"/>
      <c r="G4" s="79"/>
      <c r="H4" s="78"/>
      <c r="I4" s="131"/>
      <c r="J4" s="131"/>
      <c r="K4" s="80"/>
    </row>
    <row r="5" spans="1:243" ht="15" customHeight="1">
      <c r="A5" s="89" t="s">
        <v>0</v>
      </c>
      <c r="B5" s="90"/>
      <c r="C5" s="90"/>
      <c r="D5" s="90"/>
      <c r="E5" s="90"/>
      <c r="F5" s="90"/>
      <c r="G5" s="90"/>
      <c r="H5" s="90"/>
      <c r="I5" s="90"/>
      <c r="J5" s="90"/>
      <c r="K5" s="80"/>
    </row>
    <row r="6" spans="1:243" ht="15" customHeight="1">
      <c r="A6" s="95" t="s">
        <v>1</v>
      </c>
      <c r="B6" s="96"/>
      <c r="C6" s="96"/>
      <c r="D6" s="95" t="s">
        <v>2</v>
      </c>
      <c r="E6" s="96"/>
      <c r="F6" s="91" t="s">
        <v>3</v>
      </c>
      <c r="G6" s="92"/>
      <c r="H6" s="93"/>
      <c r="I6" s="95" t="s">
        <v>4</v>
      </c>
      <c r="J6" s="96"/>
      <c r="K6" s="80"/>
    </row>
    <row r="7" spans="1:243" s="75" customFormat="1" ht="24.95" customHeight="1">
      <c r="A7" s="96"/>
      <c r="B7" s="96"/>
      <c r="C7" s="96"/>
      <c r="D7" s="96"/>
      <c r="E7" s="96"/>
      <c r="F7" s="10" t="s">
        <v>5</v>
      </c>
      <c r="G7" s="9" t="s">
        <v>6</v>
      </c>
      <c r="H7" s="9" t="s">
        <v>7</v>
      </c>
      <c r="I7" s="96"/>
      <c r="J7" s="96"/>
      <c r="K7" s="83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4"/>
      <c r="BJ7" s="84"/>
      <c r="BK7" s="84"/>
      <c r="BL7" s="84"/>
      <c r="BM7" s="84"/>
      <c r="BN7" s="84"/>
      <c r="BO7" s="84"/>
      <c r="BP7" s="84"/>
      <c r="BQ7" s="84"/>
      <c r="BR7" s="84"/>
      <c r="BS7" s="84"/>
      <c r="BT7" s="84"/>
      <c r="BU7" s="84"/>
      <c r="BV7" s="84"/>
      <c r="BW7" s="84"/>
      <c r="BX7" s="84"/>
      <c r="BY7" s="84"/>
      <c r="BZ7" s="84"/>
      <c r="CA7" s="84"/>
      <c r="CB7" s="84"/>
      <c r="CC7" s="84"/>
      <c r="CD7" s="84"/>
      <c r="CE7" s="84"/>
      <c r="CF7" s="84"/>
      <c r="CG7" s="84"/>
      <c r="CH7" s="84"/>
      <c r="CI7" s="84"/>
      <c r="CJ7" s="84"/>
      <c r="CK7" s="84"/>
      <c r="CL7" s="84"/>
      <c r="CM7" s="84"/>
      <c r="CN7" s="84"/>
      <c r="CO7" s="84"/>
      <c r="CP7" s="84"/>
      <c r="CQ7" s="84"/>
      <c r="CR7" s="84"/>
      <c r="CS7" s="84"/>
      <c r="CT7" s="84"/>
      <c r="CU7" s="84"/>
      <c r="CV7" s="84"/>
      <c r="CW7" s="84"/>
      <c r="CX7" s="84"/>
      <c r="CY7" s="84"/>
      <c r="CZ7" s="84"/>
      <c r="DA7" s="84"/>
      <c r="DB7" s="84"/>
      <c r="DC7" s="84"/>
      <c r="DD7" s="84"/>
      <c r="DE7" s="84"/>
      <c r="DF7" s="84"/>
      <c r="DG7" s="84"/>
      <c r="DH7" s="84"/>
      <c r="DI7" s="84"/>
      <c r="DJ7" s="84"/>
      <c r="DK7" s="84"/>
      <c r="DL7" s="84"/>
      <c r="DM7" s="84"/>
      <c r="DN7" s="84"/>
      <c r="DO7" s="84"/>
      <c r="DP7" s="84"/>
      <c r="DQ7" s="84"/>
      <c r="DR7" s="84"/>
      <c r="DS7" s="84"/>
      <c r="DT7" s="84"/>
      <c r="DU7" s="84"/>
      <c r="DV7" s="84"/>
      <c r="DW7" s="84"/>
      <c r="DX7" s="84"/>
      <c r="DY7" s="84"/>
      <c r="DZ7" s="84"/>
      <c r="EA7" s="84"/>
      <c r="EB7" s="84"/>
      <c r="EC7" s="84"/>
      <c r="ED7" s="84"/>
      <c r="EE7" s="84"/>
      <c r="EF7" s="84"/>
      <c r="EG7" s="84"/>
      <c r="EH7" s="84"/>
      <c r="EI7" s="84"/>
      <c r="EJ7" s="84"/>
      <c r="EK7" s="84"/>
      <c r="EL7" s="84"/>
      <c r="EM7" s="84"/>
      <c r="EN7" s="84"/>
      <c r="EO7" s="84"/>
      <c r="EP7" s="84"/>
      <c r="EQ7" s="84"/>
      <c r="ER7" s="84"/>
      <c r="ES7" s="84"/>
      <c r="ET7" s="84"/>
      <c r="EU7" s="84"/>
      <c r="EV7" s="84"/>
      <c r="EW7" s="84"/>
      <c r="EX7" s="84"/>
      <c r="EY7" s="84"/>
      <c r="EZ7" s="84"/>
      <c r="FA7" s="84"/>
      <c r="FB7" s="84"/>
      <c r="FC7" s="84"/>
      <c r="FD7" s="84"/>
      <c r="FE7" s="84"/>
      <c r="FF7" s="84"/>
      <c r="FG7" s="84"/>
      <c r="FH7" s="84"/>
      <c r="FI7" s="84"/>
      <c r="FJ7" s="84"/>
      <c r="FK7" s="84"/>
      <c r="FL7" s="84"/>
      <c r="FM7" s="84"/>
      <c r="FN7" s="84"/>
      <c r="FO7" s="84"/>
      <c r="FP7" s="84"/>
      <c r="FQ7" s="84"/>
      <c r="FR7" s="84"/>
      <c r="FS7" s="84"/>
      <c r="FT7" s="84"/>
      <c r="FU7" s="84"/>
      <c r="FV7" s="84"/>
      <c r="FW7" s="84"/>
      <c r="FX7" s="84"/>
      <c r="FY7" s="84"/>
      <c r="FZ7" s="84"/>
      <c r="GA7" s="84"/>
      <c r="GB7" s="84"/>
      <c r="GC7" s="84"/>
      <c r="GD7" s="84"/>
      <c r="GE7" s="84"/>
      <c r="GF7" s="84"/>
      <c r="GG7" s="84"/>
      <c r="GH7" s="84"/>
      <c r="GI7" s="84"/>
      <c r="GJ7" s="84"/>
      <c r="GK7" s="84"/>
      <c r="GL7" s="84"/>
      <c r="GM7" s="84"/>
      <c r="GN7" s="84"/>
      <c r="GO7" s="84"/>
      <c r="GP7" s="84"/>
      <c r="GQ7" s="84"/>
      <c r="GR7" s="84"/>
      <c r="GS7" s="84"/>
      <c r="GT7" s="84"/>
      <c r="GU7" s="84"/>
      <c r="GV7" s="84"/>
      <c r="GW7" s="84"/>
      <c r="GX7" s="84"/>
      <c r="GY7" s="84"/>
      <c r="GZ7" s="84"/>
      <c r="HA7" s="84"/>
      <c r="HB7" s="84"/>
      <c r="HC7" s="84"/>
      <c r="HD7" s="84"/>
      <c r="HE7" s="84"/>
      <c r="HF7" s="84"/>
      <c r="HG7" s="84"/>
      <c r="HH7" s="84"/>
      <c r="HI7" s="84"/>
      <c r="HJ7" s="84"/>
      <c r="HK7" s="84"/>
      <c r="HL7" s="84"/>
      <c r="HM7" s="84"/>
      <c r="HN7" s="84"/>
      <c r="HO7" s="84"/>
      <c r="HP7" s="84"/>
      <c r="HQ7" s="84"/>
      <c r="HR7" s="84"/>
      <c r="HS7" s="84"/>
      <c r="HT7" s="84"/>
      <c r="HU7" s="84"/>
      <c r="HV7" s="84"/>
      <c r="HW7" s="84"/>
      <c r="HX7" s="84"/>
      <c r="HY7" s="84"/>
      <c r="HZ7" s="84"/>
      <c r="IA7" s="84"/>
      <c r="IB7" s="84"/>
      <c r="IC7" s="84"/>
      <c r="ID7" s="84"/>
      <c r="IE7" s="84"/>
      <c r="IF7" s="84"/>
      <c r="IG7" s="84"/>
      <c r="IH7" s="84"/>
      <c r="II7" s="84"/>
    </row>
    <row r="8" spans="1:243" ht="15" customHeight="1">
      <c r="A8" s="94" t="s">
        <v>8</v>
      </c>
      <c r="B8" s="94"/>
      <c r="C8" s="94"/>
      <c r="D8" s="94" t="s">
        <v>9</v>
      </c>
      <c r="E8" s="94"/>
      <c r="F8" s="11"/>
      <c r="G8" s="12"/>
      <c r="H8" s="12"/>
      <c r="I8" s="94" t="s">
        <v>10</v>
      </c>
      <c r="J8" s="94"/>
      <c r="K8" s="80"/>
    </row>
    <row r="9" spans="1:243" ht="15" customHeight="1">
      <c r="A9" s="9" t="s">
        <v>11</v>
      </c>
      <c r="B9" s="95" t="s">
        <v>12</v>
      </c>
      <c r="C9" s="96"/>
      <c r="D9" s="9" t="s">
        <v>13</v>
      </c>
      <c r="E9" s="9" t="s">
        <v>14</v>
      </c>
      <c r="F9" s="48" t="s">
        <v>15</v>
      </c>
      <c r="G9" s="95" t="s">
        <v>16</v>
      </c>
      <c r="H9" s="96"/>
      <c r="I9" s="95" t="s">
        <v>17</v>
      </c>
      <c r="J9" s="96"/>
      <c r="K9" s="80"/>
    </row>
    <row r="10" spans="1:243" ht="15" customHeight="1">
      <c r="A10" s="14">
        <v>46161</v>
      </c>
      <c r="B10" s="94"/>
      <c r="C10" s="94"/>
      <c r="D10" s="15">
        <v>130</v>
      </c>
      <c r="E10" s="16"/>
      <c r="F10" s="16"/>
      <c r="G10" s="94"/>
      <c r="H10" s="94"/>
      <c r="I10" s="94"/>
      <c r="J10" s="94"/>
      <c r="K10" s="80"/>
    </row>
    <row r="11" spans="1:243" ht="15" customHeight="1">
      <c r="A11" s="97" t="s">
        <v>18</v>
      </c>
      <c r="B11" s="98"/>
      <c r="C11" s="98"/>
      <c r="D11" s="98"/>
      <c r="E11" s="95" t="s">
        <v>19</v>
      </c>
      <c r="F11" s="95"/>
      <c r="G11" s="96"/>
      <c r="H11" s="96"/>
      <c r="I11" s="95" t="s">
        <v>20</v>
      </c>
      <c r="J11" s="96"/>
      <c r="K11" s="80"/>
    </row>
    <row r="12" spans="1:243" ht="15" customHeight="1">
      <c r="A12" s="99" t="s">
        <v>21</v>
      </c>
      <c r="B12" s="99"/>
      <c r="C12" s="99"/>
      <c r="D12" s="99"/>
      <c r="E12" s="100"/>
      <c r="F12" s="100"/>
      <c r="G12" s="94"/>
      <c r="H12" s="94"/>
      <c r="I12" s="99"/>
      <c r="J12" s="99"/>
      <c r="K12" s="80"/>
    </row>
    <row r="13" spans="1:243" ht="15" customHeight="1">
      <c r="A13" s="101" t="s">
        <v>22</v>
      </c>
      <c r="B13" s="102"/>
      <c r="C13" s="102"/>
      <c r="D13" s="102"/>
      <c r="E13" s="102"/>
      <c r="F13" s="102"/>
      <c r="G13" s="102"/>
      <c r="H13" s="102"/>
      <c r="I13" s="102"/>
      <c r="J13" s="103"/>
      <c r="K13" s="80"/>
    </row>
    <row r="14" spans="1:243" ht="25.15" customHeight="1">
      <c r="A14" s="95" t="s">
        <v>23</v>
      </c>
      <c r="B14" s="96"/>
      <c r="C14" s="96"/>
      <c r="D14" s="96"/>
      <c r="E14" s="9" t="s">
        <v>24</v>
      </c>
      <c r="F14" s="9" t="s">
        <v>25</v>
      </c>
      <c r="G14" s="9" t="s">
        <v>26</v>
      </c>
      <c r="H14" s="9" t="s">
        <v>27</v>
      </c>
      <c r="I14" s="9" t="s">
        <v>28</v>
      </c>
      <c r="J14" s="9"/>
      <c r="K14" s="80"/>
    </row>
    <row r="15" spans="1:243" ht="15" customHeight="1">
      <c r="A15" s="104" t="s">
        <v>29</v>
      </c>
      <c r="B15" s="105"/>
      <c r="C15" s="105"/>
      <c r="D15" s="105"/>
      <c r="E15" s="105"/>
      <c r="F15" s="105"/>
      <c r="G15" s="105"/>
      <c r="H15" s="105"/>
      <c r="I15" s="105"/>
      <c r="J15" s="106"/>
      <c r="K15" s="80"/>
    </row>
    <row r="16" spans="1:243" ht="25.15" customHeight="1">
      <c r="A16" s="107" t="s">
        <v>30</v>
      </c>
      <c r="B16" s="108"/>
      <c r="C16" s="108"/>
      <c r="D16" s="109"/>
      <c r="E16" s="1">
        <v>22</v>
      </c>
      <c r="F16" s="2">
        <f t="shared" ref="F16:F18" si="0">E16*H16/$D$10</f>
        <v>13.538461538461499</v>
      </c>
      <c r="G16" s="1">
        <v>40</v>
      </c>
      <c r="H16" s="5">
        <v>80</v>
      </c>
      <c r="I16" s="6">
        <f>G16*H16</f>
        <v>3200</v>
      </c>
      <c r="J16" s="50" t="s">
        <v>31</v>
      </c>
      <c r="K16" s="80" t="s">
        <v>31</v>
      </c>
    </row>
    <row r="17" spans="1:12" ht="25.15" customHeight="1">
      <c r="A17" s="110" t="s">
        <v>32</v>
      </c>
      <c r="B17" s="111"/>
      <c r="C17" s="111"/>
      <c r="D17" s="112"/>
      <c r="E17" s="52">
        <v>22</v>
      </c>
      <c r="F17" s="2">
        <f t="shared" si="0"/>
        <v>13.538461538461499</v>
      </c>
      <c r="G17" s="1">
        <v>35</v>
      </c>
      <c r="H17" s="5">
        <v>80</v>
      </c>
      <c r="I17" s="6">
        <f t="shared" ref="I17:I18" si="1">G17*H17</f>
        <v>2800</v>
      </c>
      <c r="J17" s="50" t="s">
        <v>31</v>
      </c>
      <c r="K17" s="80"/>
    </row>
    <row r="18" spans="1:12" ht="25.15" customHeight="1">
      <c r="A18" s="110" t="s">
        <v>33</v>
      </c>
      <c r="B18" s="111"/>
      <c r="C18" s="111"/>
      <c r="D18" s="112"/>
      <c r="E18" s="52">
        <v>22</v>
      </c>
      <c r="F18" s="2">
        <f t="shared" si="0"/>
        <v>13.538461538461499</v>
      </c>
      <c r="G18" s="1">
        <v>35</v>
      </c>
      <c r="H18" s="5">
        <v>80</v>
      </c>
      <c r="I18" s="6">
        <f t="shared" si="1"/>
        <v>2800</v>
      </c>
      <c r="J18" s="50" t="s">
        <v>31</v>
      </c>
      <c r="K18" s="80"/>
      <c r="L18" s="85"/>
    </row>
    <row r="19" spans="1:12" ht="25.15" customHeight="1">
      <c r="A19" s="101" t="s">
        <v>34</v>
      </c>
      <c r="B19" s="102"/>
      <c r="C19" s="102"/>
      <c r="D19" s="102"/>
      <c r="E19" s="102"/>
      <c r="F19" s="102"/>
      <c r="G19" s="102"/>
      <c r="H19" s="102"/>
      <c r="I19" s="102"/>
      <c r="J19" s="103"/>
      <c r="K19" s="80"/>
    </row>
    <row r="20" spans="1:12" ht="24.95" customHeight="1">
      <c r="A20" s="95" t="s">
        <v>23</v>
      </c>
      <c r="B20" s="96"/>
      <c r="C20" s="96"/>
      <c r="D20" s="96"/>
      <c r="E20" s="9" t="s">
        <v>24</v>
      </c>
      <c r="F20" s="9" t="s">
        <v>25</v>
      </c>
      <c r="G20" s="9" t="s">
        <v>26</v>
      </c>
      <c r="H20" s="9" t="s">
        <v>27</v>
      </c>
      <c r="I20" s="9" t="s">
        <v>28</v>
      </c>
      <c r="J20" s="9"/>
      <c r="K20" s="80"/>
    </row>
    <row r="21" spans="1:12" ht="15" customHeight="1">
      <c r="A21" s="113" t="s">
        <v>35</v>
      </c>
      <c r="B21" s="113" t="s">
        <v>36</v>
      </c>
      <c r="C21" s="113" t="s">
        <v>36</v>
      </c>
      <c r="D21" s="113" t="s">
        <v>36</v>
      </c>
      <c r="E21" s="63">
        <v>75</v>
      </c>
      <c r="F21" s="2">
        <f t="shared" ref="F21:F26" si="2">E21*H21/$D$10</f>
        <v>46.153846153846203</v>
      </c>
      <c r="G21" s="6">
        <v>130</v>
      </c>
      <c r="H21" s="2">
        <v>80</v>
      </c>
      <c r="I21" s="1">
        <f t="shared" ref="I21:I26" si="3">H21*G21</f>
        <v>10400</v>
      </c>
      <c r="J21" s="50" t="s">
        <v>31</v>
      </c>
      <c r="K21" s="80" t="s">
        <v>31</v>
      </c>
    </row>
    <row r="22" spans="1:12" ht="15" customHeight="1">
      <c r="A22" s="113" t="s">
        <v>37</v>
      </c>
      <c r="B22" s="113" t="s">
        <v>36</v>
      </c>
      <c r="C22" s="113" t="s">
        <v>36</v>
      </c>
      <c r="D22" s="113" t="s">
        <v>36</v>
      </c>
      <c r="E22" s="63">
        <v>75</v>
      </c>
      <c r="F22" s="2">
        <f t="shared" si="2"/>
        <v>46.153846153846203</v>
      </c>
      <c r="G22" s="6">
        <v>170</v>
      </c>
      <c r="H22" s="2">
        <v>80</v>
      </c>
      <c r="I22" s="1">
        <f t="shared" si="3"/>
        <v>13600</v>
      </c>
      <c r="J22" s="50" t="s">
        <v>31</v>
      </c>
      <c r="K22" s="80"/>
    </row>
    <row r="23" spans="1:12" ht="15" customHeight="1">
      <c r="A23" s="101" t="s">
        <v>38</v>
      </c>
      <c r="B23" s="102"/>
      <c r="C23" s="102"/>
      <c r="D23" s="102"/>
      <c r="E23" s="102"/>
      <c r="F23" s="102"/>
      <c r="G23" s="102"/>
      <c r="H23" s="102"/>
      <c r="I23" s="102"/>
      <c r="J23" s="103"/>
      <c r="K23" s="80"/>
    </row>
    <row r="24" spans="1:12" ht="24.95" customHeight="1">
      <c r="A24" s="95" t="s">
        <v>23</v>
      </c>
      <c r="B24" s="96"/>
      <c r="C24" s="96"/>
      <c r="D24" s="96"/>
      <c r="E24" s="9" t="s">
        <v>24</v>
      </c>
      <c r="F24" s="9" t="s">
        <v>25</v>
      </c>
      <c r="G24" s="9" t="s">
        <v>26</v>
      </c>
      <c r="H24" s="9" t="s">
        <v>27</v>
      </c>
      <c r="I24" s="9" t="s">
        <v>28</v>
      </c>
      <c r="J24" s="9"/>
      <c r="K24" s="80"/>
    </row>
    <row r="25" spans="1:12" ht="15" customHeight="1">
      <c r="A25" s="114" t="s">
        <v>39</v>
      </c>
      <c r="B25" s="114" t="s">
        <v>40</v>
      </c>
      <c r="C25" s="114" t="s">
        <v>40</v>
      </c>
      <c r="D25" s="114" t="s">
        <v>40</v>
      </c>
      <c r="E25" s="55">
        <v>50</v>
      </c>
      <c r="F25" s="2">
        <f t="shared" si="2"/>
        <v>30.769230769230798</v>
      </c>
      <c r="G25" s="6">
        <v>80</v>
      </c>
      <c r="H25" s="2">
        <v>80</v>
      </c>
      <c r="I25" s="1">
        <f t="shared" si="3"/>
        <v>6400</v>
      </c>
      <c r="J25" s="50" t="s">
        <v>31</v>
      </c>
      <c r="K25" s="80" t="s">
        <v>31</v>
      </c>
    </row>
    <row r="26" spans="1:12" ht="15" customHeight="1">
      <c r="A26" s="114" t="s">
        <v>41</v>
      </c>
      <c r="B26" s="114" t="s">
        <v>40</v>
      </c>
      <c r="C26" s="114" t="s">
        <v>40</v>
      </c>
      <c r="D26" s="114" t="s">
        <v>40</v>
      </c>
      <c r="E26" s="55">
        <v>55</v>
      </c>
      <c r="F26" s="2">
        <f t="shared" si="2"/>
        <v>33.846153846153797</v>
      </c>
      <c r="G26" s="6">
        <v>90</v>
      </c>
      <c r="H26" s="2">
        <v>80</v>
      </c>
      <c r="I26" s="1">
        <f t="shared" si="3"/>
        <v>7200</v>
      </c>
      <c r="J26" s="50" t="s">
        <v>31</v>
      </c>
      <c r="K26" s="80"/>
    </row>
    <row r="27" spans="1:12" ht="15" customHeight="1">
      <c r="A27" s="89" t="s">
        <v>42</v>
      </c>
      <c r="B27" s="90"/>
      <c r="C27" s="90"/>
      <c r="D27" s="90"/>
      <c r="E27" s="90"/>
      <c r="F27" s="90"/>
      <c r="G27" s="90"/>
      <c r="H27" s="90"/>
      <c r="I27" s="90"/>
      <c r="J27" s="90"/>
      <c r="K27" s="80"/>
    </row>
    <row r="28" spans="1:12" ht="25.15" customHeight="1">
      <c r="A28" s="95" t="s">
        <v>23</v>
      </c>
      <c r="B28" s="96"/>
      <c r="C28" s="96"/>
      <c r="D28" s="96"/>
      <c r="E28" s="9" t="s">
        <v>24</v>
      </c>
      <c r="F28" s="9" t="s">
        <v>25</v>
      </c>
      <c r="G28" s="9" t="s">
        <v>26</v>
      </c>
      <c r="H28" s="9" t="s">
        <v>27</v>
      </c>
      <c r="I28" s="9" t="s">
        <v>28</v>
      </c>
      <c r="J28" s="9"/>
      <c r="K28" s="80"/>
    </row>
    <row r="29" spans="1:12" ht="43.15" customHeight="1">
      <c r="A29" s="115" t="s">
        <v>43</v>
      </c>
      <c r="B29" s="116"/>
      <c r="C29" s="116"/>
      <c r="D29" s="117"/>
      <c r="E29" s="52">
        <v>100</v>
      </c>
      <c r="F29" s="2">
        <f>E29*H29/$D$10</f>
        <v>76.923076923076906</v>
      </c>
      <c r="G29" s="6">
        <v>35</v>
      </c>
      <c r="H29" s="49">
        <v>100</v>
      </c>
      <c r="I29" s="1">
        <f>H29*G29</f>
        <v>3500</v>
      </c>
      <c r="J29" s="53"/>
      <c r="K29" s="80"/>
    </row>
    <row r="30" spans="1:12" ht="25.15" customHeight="1">
      <c r="A30" s="118" t="s">
        <v>44</v>
      </c>
      <c r="B30" s="111"/>
      <c r="C30" s="111"/>
      <c r="D30" s="112"/>
      <c r="E30" s="52">
        <v>100</v>
      </c>
      <c r="F30" s="2">
        <f>E30*H30/$D$10</f>
        <v>76.923076923076906</v>
      </c>
      <c r="G30" s="6">
        <v>75</v>
      </c>
      <c r="H30" s="52">
        <v>100</v>
      </c>
      <c r="I30" s="1">
        <f>H30*G30</f>
        <v>7500</v>
      </c>
      <c r="J30" s="50"/>
      <c r="K30" s="80" t="s">
        <v>45</v>
      </c>
    </row>
    <row r="31" spans="1:12" ht="25.15" customHeight="1">
      <c r="A31" s="17" t="s">
        <v>46</v>
      </c>
      <c r="B31" s="64"/>
      <c r="C31" s="64"/>
      <c r="D31" s="65"/>
      <c r="E31" s="1">
        <v>100</v>
      </c>
      <c r="F31" s="2">
        <f>E31*H31/$D$10</f>
        <v>46.153846153846203</v>
      </c>
      <c r="G31" s="1">
        <v>180</v>
      </c>
      <c r="H31" s="49">
        <v>60</v>
      </c>
      <c r="I31" s="1">
        <f>H31*G31</f>
        <v>10800</v>
      </c>
      <c r="J31" s="51"/>
      <c r="K31" s="80"/>
    </row>
    <row r="32" spans="1:12" ht="25.15" customHeight="1">
      <c r="A32" s="17" t="s">
        <v>47</v>
      </c>
      <c r="B32" s="66"/>
      <c r="C32" s="66"/>
      <c r="D32" s="67"/>
      <c r="E32" s="2">
        <v>100</v>
      </c>
      <c r="F32" s="2">
        <f>E32*H32/$D$10</f>
        <v>30.769230769230798</v>
      </c>
      <c r="G32" s="2">
        <v>90</v>
      </c>
      <c r="H32" s="50">
        <v>40</v>
      </c>
      <c r="I32" s="2">
        <f>H32*G32</f>
        <v>3600</v>
      </c>
      <c r="J32" s="56"/>
      <c r="K32" s="80"/>
    </row>
    <row r="33" spans="1:243" ht="25.15" customHeight="1">
      <c r="A33" s="119" t="s">
        <v>48</v>
      </c>
      <c r="B33" s="120"/>
      <c r="C33" s="120"/>
      <c r="D33" s="120"/>
      <c r="E33" s="120"/>
      <c r="F33" s="120"/>
      <c r="G33" s="120"/>
      <c r="H33" s="120"/>
      <c r="I33" s="120"/>
      <c r="J33" s="57">
        <f>SUM(I13:I32)</f>
        <v>71800</v>
      </c>
      <c r="K33" s="80"/>
    </row>
    <row r="34" spans="1:243" s="76" customFormat="1" ht="24.95" customHeight="1">
      <c r="A34" s="121" t="s">
        <v>49</v>
      </c>
      <c r="B34" s="122"/>
      <c r="C34" s="122"/>
      <c r="D34" s="122"/>
      <c r="E34" s="122"/>
      <c r="F34" s="122"/>
      <c r="G34" s="122"/>
      <c r="H34" s="122"/>
      <c r="I34" s="122"/>
      <c r="J34" s="58">
        <f>SUM(F13:F30)</f>
        <v>351.38461538461502</v>
      </c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2"/>
      <c r="BT34" s="72"/>
      <c r="BU34" s="72"/>
      <c r="BV34" s="72"/>
      <c r="BW34" s="72"/>
      <c r="BX34" s="72"/>
      <c r="BY34" s="72"/>
      <c r="BZ34" s="72"/>
      <c r="CA34" s="72"/>
      <c r="CB34" s="72"/>
      <c r="CC34" s="72"/>
      <c r="CD34" s="72"/>
      <c r="CE34" s="72"/>
      <c r="CF34" s="72"/>
      <c r="CG34" s="72"/>
      <c r="CH34" s="72"/>
      <c r="CI34" s="72"/>
      <c r="CJ34" s="72"/>
      <c r="CK34" s="72"/>
      <c r="CL34" s="72"/>
      <c r="CM34" s="72"/>
      <c r="CN34" s="72"/>
      <c r="CO34" s="72"/>
      <c r="CP34" s="72"/>
      <c r="CQ34" s="72"/>
      <c r="CR34" s="72"/>
      <c r="CS34" s="72"/>
      <c r="CT34" s="72"/>
      <c r="CU34" s="72"/>
      <c r="CV34" s="72"/>
      <c r="CW34" s="72"/>
      <c r="CX34" s="72"/>
      <c r="CY34" s="72"/>
      <c r="CZ34" s="72"/>
      <c r="DA34" s="72"/>
      <c r="DB34" s="72"/>
      <c r="DC34" s="72"/>
      <c r="DD34" s="72"/>
      <c r="DE34" s="72"/>
      <c r="DF34" s="72"/>
      <c r="DG34" s="72"/>
      <c r="DH34" s="72"/>
      <c r="DI34" s="72"/>
      <c r="DJ34" s="72"/>
      <c r="DK34" s="72"/>
      <c r="DL34" s="72"/>
      <c r="DM34" s="72"/>
      <c r="DN34" s="72"/>
      <c r="DO34" s="72"/>
      <c r="DP34" s="72"/>
      <c r="DQ34" s="72"/>
      <c r="DR34" s="72"/>
      <c r="DS34" s="72"/>
      <c r="DT34" s="72"/>
      <c r="DU34" s="72"/>
      <c r="DV34" s="72"/>
      <c r="DW34" s="72"/>
      <c r="DX34" s="72"/>
      <c r="DY34" s="72"/>
      <c r="DZ34" s="72"/>
      <c r="EA34" s="72"/>
      <c r="EB34" s="72"/>
      <c r="EC34" s="72"/>
      <c r="ED34" s="72"/>
      <c r="EE34" s="72"/>
      <c r="EF34" s="72"/>
      <c r="EG34" s="72"/>
      <c r="EH34" s="72"/>
      <c r="EI34" s="72"/>
      <c r="EJ34" s="72"/>
      <c r="EK34" s="72"/>
      <c r="EL34" s="72"/>
      <c r="EM34" s="72"/>
      <c r="EN34" s="72"/>
      <c r="EO34" s="72"/>
      <c r="EP34" s="72"/>
      <c r="EQ34" s="72"/>
      <c r="ER34" s="72"/>
      <c r="ES34" s="72"/>
      <c r="ET34" s="72"/>
      <c r="EU34" s="72"/>
      <c r="EV34" s="72"/>
      <c r="EW34" s="72"/>
      <c r="EX34" s="72"/>
      <c r="EY34" s="72"/>
      <c r="EZ34" s="72"/>
      <c r="FA34" s="72"/>
      <c r="FB34" s="72"/>
      <c r="FC34" s="72"/>
      <c r="FD34" s="72"/>
      <c r="FE34" s="72"/>
      <c r="FF34" s="72"/>
      <c r="FG34" s="72"/>
      <c r="FH34" s="72"/>
      <c r="FI34" s="72"/>
      <c r="FJ34" s="72"/>
      <c r="FK34" s="72"/>
      <c r="FL34" s="72"/>
      <c r="FM34" s="72"/>
      <c r="FN34" s="72"/>
      <c r="FO34" s="72"/>
      <c r="FP34" s="72"/>
      <c r="FQ34" s="72"/>
      <c r="FR34" s="72"/>
      <c r="FS34" s="72"/>
      <c r="FT34" s="72"/>
      <c r="FU34" s="72"/>
      <c r="FV34" s="72"/>
      <c r="FW34" s="72"/>
      <c r="FX34" s="72"/>
      <c r="FY34" s="72"/>
      <c r="FZ34" s="72"/>
      <c r="GA34" s="72"/>
      <c r="GB34" s="72"/>
      <c r="GC34" s="72"/>
      <c r="GD34" s="72"/>
      <c r="GE34" s="72"/>
      <c r="GF34" s="72"/>
      <c r="GG34" s="72"/>
      <c r="GH34" s="72"/>
      <c r="GI34" s="72"/>
      <c r="GJ34" s="72"/>
      <c r="GK34" s="72"/>
      <c r="GL34" s="72"/>
      <c r="GM34" s="72"/>
      <c r="GN34" s="72"/>
      <c r="GO34" s="72"/>
      <c r="GP34" s="72"/>
      <c r="GQ34" s="72"/>
      <c r="GR34" s="72"/>
      <c r="GS34" s="72"/>
      <c r="GT34" s="72"/>
      <c r="GU34" s="72"/>
      <c r="GV34" s="72"/>
      <c r="GW34" s="72"/>
      <c r="GX34" s="72"/>
      <c r="GY34" s="72"/>
      <c r="GZ34" s="72"/>
      <c r="HA34" s="72"/>
      <c r="HB34" s="72"/>
      <c r="HC34" s="72"/>
      <c r="HD34" s="72"/>
      <c r="HE34" s="72"/>
      <c r="HF34" s="72"/>
      <c r="HG34" s="72"/>
      <c r="HH34" s="72"/>
      <c r="HI34" s="72"/>
      <c r="HJ34" s="72"/>
      <c r="HK34" s="72"/>
      <c r="HL34" s="72"/>
      <c r="HM34" s="72"/>
      <c r="HN34" s="72"/>
      <c r="HO34" s="72"/>
      <c r="HP34" s="72"/>
      <c r="HQ34" s="72"/>
      <c r="HR34" s="72"/>
      <c r="HS34" s="72"/>
      <c r="HT34" s="72"/>
      <c r="HU34" s="72"/>
      <c r="HV34" s="72"/>
      <c r="HW34" s="72"/>
      <c r="HX34" s="72"/>
      <c r="HY34" s="72"/>
      <c r="HZ34" s="72"/>
      <c r="IA34" s="72"/>
      <c r="IB34" s="72"/>
      <c r="IC34" s="72"/>
      <c r="ID34" s="72"/>
      <c r="IE34" s="72"/>
      <c r="IF34" s="72"/>
      <c r="IG34" s="72"/>
      <c r="IH34" s="72"/>
      <c r="II34" s="72"/>
    </row>
    <row r="35" spans="1:243" ht="15" customHeight="1">
      <c r="A35" s="89" t="s">
        <v>50</v>
      </c>
      <c r="B35" s="90"/>
      <c r="C35" s="90"/>
      <c r="D35" s="90"/>
      <c r="E35" s="90"/>
      <c r="F35" s="90"/>
      <c r="G35" s="90"/>
      <c r="H35" s="90"/>
      <c r="I35" s="90"/>
      <c r="J35" s="90"/>
    </row>
    <row r="36" spans="1:243" ht="25.15" customHeight="1">
      <c r="A36" s="95" t="s">
        <v>23</v>
      </c>
      <c r="B36" s="96"/>
      <c r="C36" s="96"/>
      <c r="D36" s="96"/>
      <c r="E36" s="9" t="s">
        <v>24</v>
      </c>
      <c r="F36" s="9" t="s">
        <v>25</v>
      </c>
      <c r="G36" s="9" t="s">
        <v>26</v>
      </c>
      <c r="H36" s="9" t="s">
        <v>27</v>
      </c>
      <c r="I36" s="9" t="s">
        <v>28</v>
      </c>
      <c r="J36" s="9"/>
    </row>
    <row r="37" spans="1:243" ht="15" customHeight="1">
      <c r="A37" s="118" t="s">
        <v>51</v>
      </c>
      <c r="B37" s="111"/>
      <c r="C37" s="111"/>
      <c r="D37" s="112"/>
      <c r="E37" s="52">
        <v>200</v>
      </c>
      <c r="F37" s="6"/>
      <c r="G37" s="52">
        <v>35</v>
      </c>
      <c r="H37" s="52">
        <v>80</v>
      </c>
      <c r="I37" s="6">
        <f>G37*H37</f>
        <v>2800</v>
      </c>
      <c r="J37" s="50"/>
    </row>
    <row r="38" spans="1:243" ht="15" customHeight="1">
      <c r="A38" s="123" t="s">
        <v>52</v>
      </c>
      <c r="B38" s="124"/>
      <c r="C38" s="124"/>
      <c r="D38" s="124"/>
      <c r="E38" s="59" t="s">
        <v>53</v>
      </c>
      <c r="F38" s="6"/>
      <c r="G38" s="59">
        <v>100</v>
      </c>
      <c r="H38" s="50">
        <v>100</v>
      </c>
      <c r="I38" s="6">
        <f>G38*H38</f>
        <v>10000</v>
      </c>
      <c r="J38" s="50"/>
    </row>
    <row r="39" spans="1:243" ht="15" customHeight="1">
      <c r="A39" s="123" t="s">
        <v>54</v>
      </c>
      <c r="B39" s="123"/>
      <c r="C39" s="123"/>
      <c r="D39" s="123"/>
      <c r="E39" s="59">
        <v>10</v>
      </c>
      <c r="F39" s="6"/>
      <c r="G39" s="59">
        <v>20</v>
      </c>
      <c r="H39" s="50">
        <v>100</v>
      </c>
      <c r="I39" s="6">
        <f>G39*H39</f>
        <v>2000</v>
      </c>
      <c r="J39" s="50"/>
    </row>
    <row r="40" spans="1:243" ht="24.95" customHeight="1">
      <c r="A40" s="119" t="s">
        <v>55</v>
      </c>
      <c r="B40" s="120"/>
      <c r="C40" s="120"/>
      <c r="D40" s="120"/>
      <c r="E40" s="120"/>
      <c r="F40" s="120"/>
      <c r="G40" s="120"/>
      <c r="H40" s="120"/>
      <c r="I40" s="120"/>
      <c r="J40" s="24">
        <f>SUM(I37:I39)</f>
        <v>14800</v>
      </c>
    </row>
    <row r="41" spans="1:243" ht="15" customHeight="1">
      <c r="A41" s="125" t="s">
        <v>56</v>
      </c>
      <c r="B41" s="126"/>
      <c r="C41" s="126"/>
      <c r="D41" s="126"/>
      <c r="E41" s="126"/>
      <c r="F41" s="126"/>
      <c r="G41" s="126"/>
      <c r="H41" s="126"/>
      <c r="I41" s="127"/>
      <c r="J41" s="24">
        <v>11600</v>
      </c>
    </row>
    <row r="42" spans="1:243" ht="15" customHeight="1">
      <c r="A42" s="128" t="s">
        <v>57</v>
      </c>
      <c r="B42" s="129"/>
      <c r="C42" s="129"/>
      <c r="D42" s="129"/>
      <c r="E42" s="129"/>
      <c r="F42" s="129"/>
      <c r="G42" s="129"/>
      <c r="H42" s="129"/>
      <c r="I42" s="129"/>
      <c r="J42" s="61">
        <f>J33+J40+J41</f>
        <v>98200</v>
      </c>
    </row>
    <row r="43" spans="1:243" ht="15" customHeight="1">
      <c r="A43" s="121" t="s">
        <v>58</v>
      </c>
      <c r="B43" s="122"/>
      <c r="C43" s="122"/>
      <c r="D43" s="122"/>
      <c r="E43" s="122"/>
      <c r="F43" s="122"/>
      <c r="G43" s="122"/>
      <c r="H43" s="122"/>
      <c r="I43" s="122"/>
      <c r="J43" s="62">
        <f>J42/$D$10</f>
        <v>755.38461538461502</v>
      </c>
    </row>
  </sheetData>
  <mergeCells count="55">
    <mergeCell ref="A40:I40"/>
    <mergeCell ref="A41:I41"/>
    <mergeCell ref="A42:I42"/>
    <mergeCell ref="A43:I43"/>
    <mergeCell ref="I3:J4"/>
    <mergeCell ref="D6:E7"/>
    <mergeCell ref="I6:J7"/>
    <mergeCell ref="A6:C7"/>
    <mergeCell ref="A35:J35"/>
    <mergeCell ref="A36:D36"/>
    <mergeCell ref="A37:D37"/>
    <mergeCell ref="A38:D38"/>
    <mergeCell ref="A39:D39"/>
    <mergeCell ref="A28:D28"/>
    <mergeCell ref="A29:D29"/>
    <mergeCell ref="A30:D30"/>
    <mergeCell ref="A33:I33"/>
    <mergeCell ref="A34:I34"/>
    <mergeCell ref="A23:J23"/>
    <mergeCell ref="A24:D24"/>
    <mergeCell ref="A25:D25"/>
    <mergeCell ref="A26:D26"/>
    <mergeCell ref="A27:J27"/>
    <mergeCell ref="A18:D18"/>
    <mergeCell ref="A19:J19"/>
    <mergeCell ref="A20:D20"/>
    <mergeCell ref="A21:D21"/>
    <mergeCell ref="A22:D22"/>
    <mergeCell ref="A13:J13"/>
    <mergeCell ref="A14:D14"/>
    <mergeCell ref="A15:J15"/>
    <mergeCell ref="A16:D16"/>
    <mergeCell ref="A17:D17"/>
    <mergeCell ref="A11:D11"/>
    <mergeCell ref="E11:H11"/>
    <mergeCell ref="I11:J11"/>
    <mergeCell ref="A12:D12"/>
    <mergeCell ref="E12:H12"/>
    <mergeCell ref="I12:J12"/>
    <mergeCell ref="B9:C9"/>
    <mergeCell ref="G9:H9"/>
    <mergeCell ref="I9:J9"/>
    <mergeCell ref="B10:C10"/>
    <mergeCell ref="G10:H10"/>
    <mergeCell ref="I10:J10"/>
    <mergeCell ref="A5:J5"/>
    <mergeCell ref="F6:H6"/>
    <mergeCell ref="A8:C8"/>
    <mergeCell ref="D8:E8"/>
    <mergeCell ref="I8:J8"/>
    <mergeCell ref="A1:C1"/>
    <mergeCell ref="E1:J1"/>
    <mergeCell ref="A2:C2"/>
    <mergeCell ref="I2:J2"/>
    <mergeCell ref="A3:C3"/>
  </mergeCells>
  <pageMargins left="0.25" right="0.25" top="0.75" bottom="0.75" header="0.3" footer="0.3"/>
  <pageSetup paperSize="9" orientation="portrait"/>
  <headerFooter>
    <oddFooter>&amp;L&amp;"Helvetica,Regular"&amp;11&amp;K000000	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79992065187536243"/>
  </sheetPr>
  <dimension ref="A1:K46"/>
  <sheetViews>
    <sheetView topLeftCell="A4" workbookViewId="0">
      <selection activeCell="K28" sqref="K28"/>
    </sheetView>
  </sheetViews>
  <sheetFormatPr defaultColWidth="8.796875" defaultRowHeight="15"/>
  <cols>
    <col min="1" max="1" width="10.69921875" customWidth="1"/>
    <col min="2" max="9" width="5.19921875" customWidth="1"/>
    <col min="10" max="10" width="10.69921875" customWidth="1"/>
  </cols>
  <sheetData>
    <row r="1" spans="1:11" ht="24.95" customHeight="1">
      <c r="A1" s="86"/>
      <c r="B1" s="86"/>
      <c r="C1" s="86"/>
      <c r="D1" s="144"/>
      <c r="E1" s="144"/>
      <c r="F1" s="144"/>
      <c r="G1" s="144"/>
      <c r="H1" s="144"/>
      <c r="I1" s="144"/>
      <c r="J1" s="144"/>
    </row>
    <row r="2" spans="1:11" ht="24.95" customHeight="1">
      <c r="A2" s="144"/>
      <c r="B2" s="144"/>
      <c r="C2" s="144"/>
      <c r="D2" s="144"/>
      <c r="E2" s="144"/>
      <c r="F2" s="144"/>
      <c r="G2" s="144"/>
      <c r="H2" s="144"/>
      <c r="I2" s="144"/>
      <c r="J2" s="144"/>
    </row>
    <row r="3" spans="1:11" ht="24.95" customHeight="1">
      <c r="A3" s="144"/>
      <c r="B3" s="144"/>
      <c r="C3" s="144"/>
      <c r="D3" s="144"/>
      <c r="E3" s="144"/>
      <c r="F3" s="144"/>
      <c r="G3" s="144"/>
      <c r="H3" s="144"/>
      <c r="I3" s="144"/>
      <c r="J3" s="144"/>
    </row>
    <row r="4" spans="1:11" ht="24.95" customHeight="1">
      <c r="A4" s="145"/>
      <c r="B4" s="145"/>
      <c r="C4" s="145"/>
      <c r="D4" s="145"/>
      <c r="E4" s="145"/>
      <c r="F4" s="145"/>
      <c r="G4" s="145"/>
      <c r="H4" s="145"/>
      <c r="I4" s="145"/>
      <c r="J4" s="145"/>
    </row>
    <row r="5" spans="1:11" ht="15.75">
      <c r="A5" s="89" t="s">
        <v>0</v>
      </c>
      <c r="B5" s="90"/>
      <c r="C5" s="90"/>
      <c r="D5" s="90"/>
      <c r="E5" s="90"/>
      <c r="F5" s="90"/>
      <c r="G5" s="90"/>
      <c r="H5" s="90"/>
      <c r="I5" s="90"/>
      <c r="J5" s="90"/>
    </row>
    <row r="6" spans="1:11">
      <c r="A6" s="95" t="s">
        <v>1</v>
      </c>
      <c r="B6" s="96"/>
      <c r="C6" s="96"/>
      <c r="D6" s="95" t="s">
        <v>2</v>
      </c>
      <c r="E6" s="96"/>
      <c r="F6" s="91" t="s">
        <v>3</v>
      </c>
      <c r="G6" s="92"/>
      <c r="H6" s="93"/>
      <c r="I6" s="95" t="s">
        <v>4</v>
      </c>
      <c r="J6" s="96"/>
    </row>
    <row r="7" spans="1:11" ht="25.5">
      <c r="A7" s="96"/>
      <c r="B7" s="96"/>
      <c r="C7" s="96"/>
      <c r="D7" s="96"/>
      <c r="E7" s="96"/>
      <c r="F7" s="10" t="s">
        <v>5</v>
      </c>
      <c r="G7" s="9" t="s">
        <v>6</v>
      </c>
      <c r="H7" s="9" t="s">
        <v>7</v>
      </c>
      <c r="I7" s="96"/>
      <c r="J7" s="96"/>
    </row>
    <row r="8" spans="1:11">
      <c r="A8" s="94" t="s">
        <v>8</v>
      </c>
      <c r="B8" s="94"/>
      <c r="C8" s="94"/>
      <c r="D8" s="94" t="s">
        <v>9</v>
      </c>
      <c r="E8" s="94"/>
      <c r="F8" s="11"/>
      <c r="G8" s="12"/>
      <c r="H8" s="12"/>
      <c r="I8" s="94" t="s">
        <v>10</v>
      </c>
      <c r="J8" s="94"/>
    </row>
    <row r="9" spans="1:11">
      <c r="A9" s="9" t="s">
        <v>11</v>
      </c>
      <c r="B9" s="95" t="s">
        <v>12</v>
      </c>
      <c r="C9" s="96"/>
      <c r="D9" s="9" t="s">
        <v>13</v>
      </c>
      <c r="E9" s="9" t="s">
        <v>14</v>
      </c>
      <c r="F9" s="48" t="s">
        <v>15</v>
      </c>
      <c r="G9" s="95" t="s">
        <v>16</v>
      </c>
      <c r="H9" s="96"/>
      <c r="I9" s="95" t="s">
        <v>17</v>
      </c>
      <c r="J9" s="96"/>
    </row>
    <row r="10" spans="1:11">
      <c r="A10" s="14">
        <v>46161</v>
      </c>
      <c r="B10" s="94"/>
      <c r="C10" s="94"/>
      <c r="D10" s="15">
        <v>130</v>
      </c>
      <c r="E10" s="16"/>
      <c r="F10" s="16"/>
      <c r="G10" s="94"/>
      <c r="H10" s="94"/>
      <c r="I10" s="94"/>
      <c r="J10" s="94"/>
    </row>
    <row r="11" spans="1:11">
      <c r="A11" s="97" t="s">
        <v>18</v>
      </c>
      <c r="B11" s="98"/>
      <c r="C11" s="98"/>
      <c r="D11" s="98"/>
      <c r="E11" s="95" t="s">
        <v>19</v>
      </c>
      <c r="F11" s="95"/>
      <c r="G11" s="96"/>
      <c r="H11" s="96"/>
      <c r="I11" s="95" t="s">
        <v>20</v>
      </c>
      <c r="J11" s="96"/>
    </row>
    <row r="12" spans="1:11">
      <c r="A12" s="99" t="s">
        <v>21</v>
      </c>
      <c r="B12" s="99"/>
      <c r="C12" s="99"/>
      <c r="D12" s="99"/>
      <c r="E12" s="100"/>
      <c r="F12" s="100"/>
      <c r="G12" s="94"/>
      <c r="H12" s="94"/>
      <c r="I12" s="99"/>
      <c r="J12" s="99"/>
    </row>
    <row r="13" spans="1:11" ht="15.75">
      <c r="A13" s="101" t="s">
        <v>59</v>
      </c>
      <c r="B13" s="102"/>
      <c r="C13" s="102"/>
      <c r="D13" s="102"/>
      <c r="E13" s="102"/>
      <c r="F13" s="102"/>
      <c r="G13" s="102"/>
      <c r="H13" s="102"/>
      <c r="I13" s="102"/>
      <c r="J13" s="103"/>
    </row>
    <row r="14" spans="1:11" ht="25.5">
      <c r="A14" s="95" t="s">
        <v>23</v>
      </c>
      <c r="B14" s="96"/>
      <c r="C14" s="96"/>
      <c r="D14" s="96"/>
      <c r="E14" s="9" t="s">
        <v>24</v>
      </c>
      <c r="F14" s="9" t="s">
        <v>25</v>
      </c>
      <c r="G14" s="9" t="s">
        <v>26</v>
      </c>
      <c r="H14" s="9" t="s">
        <v>27</v>
      </c>
      <c r="I14" s="9" t="s">
        <v>28</v>
      </c>
      <c r="J14" s="9"/>
    </row>
    <row r="15" spans="1:11">
      <c r="A15" s="104" t="s">
        <v>29</v>
      </c>
      <c r="B15" s="105"/>
      <c r="C15" s="105"/>
      <c r="D15" s="105"/>
      <c r="E15" s="105"/>
      <c r="F15" s="105"/>
      <c r="G15" s="105"/>
      <c r="H15" s="105"/>
      <c r="I15" s="105"/>
      <c r="J15" s="106"/>
    </row>
    <row r="16" spans="1:11" ht="24.95" customHeight="1">
      <c r="A16" s="132" t="s">
        <v>60</v>
      </c>
      <c r="B16" s="133"/>
      <c r="C16" s="133"/>
      <c r="D16" s="134"/>
      <c r="E16" s="73">
        <v>75</v>
      </c>
      <c r="F16" s="74">
        <f t="shared" ref="F16:F18" si="0">E16*H16/$D$10</f>
        <v>46.153846153846203</v>
      </c>
      <c r="G16" s="74">
        <v>120</v>
      </c>
      <c r="H16" s="5">
        <v>80</v>
      </c>
      <c r="I16" s="6">
        <f>G16*H16</f>
        <v>9600</v>
      </c>
      <c r="J16" s="50"/>
      <c r="K16" t="s">
        <v>61</v>
      </c>
    </row>
    <row r="17" spans="1:11">
      <c r="A17" s="135" t="s">
        <v>62</v>
      </c>
      <c r="B17" s="136"/>
      <c r="C17" s="136"/>
      <c r="D17" s="137"/>
      <c r="E17" s="59">
        <v>75</v>
      </c>
      <c r="F17" s="2">
        <f t="shared" si="0"/>
        <v>46.153846153846203</v>
      </c>
      <c r="G17" s="6">
        <v>80</v>
      </c>
      <c r="H17" s="5">
        <v>80</v>
      </c>
      <c r="I17" s="6">
        <f>G17*H17</f>
        <v>6400</v>
      </c>
      <c r="J17" s="50"/>
    </row>
    <row r="18" spans="1:11" s="47" customFormat="1" ht="15.75">
      <c r="A18" s="135" t="s">
        <v>63</v>
      </c>
      <c r="B18" s="136"/>
      <c r="C18" s="136"/>
      <c r="D18" s="137"/>
      <c r="E18" s="59">
        <v>80</v>
      </c>
      <c r="F18" s="2">
        <f t="shared" si="0"/>
        <v>49.230769230769198</v>
      </c>
      <c r="G18" s="6">
        <v>80</v>
      </c>
      <c r="H18" s="2">
        <v>80</v>
      </c>
      <c r="I18" s="6">
        <f>G18*H18</f>
        <v>6400</v>
      </c>
      <c r="J18" s="69"/>
    </row>
    <row r="19" spans="1:11" ht="15.75">
      <c r="A19" s="89" t="s">
        <v>64</v>
      </c>
      <c r="B19" s="90"/>
      <c r="C19" s="90"/>
      <c r="D19" s="90"/>
      <c r="E19" s="90"/>
      <c r="F19" s="90"/>
      <c r="G19" s="90"/>
      <c r="H19" s="90"/>
      <c r="I19" s="90"/>
      <c r="J19" s="90"/>
    </row>
    <row r="20" spans="1:11" ht="25.5">
      <c r="A20" s="95" t="s">
        <v>23</v>
      </c>
      <c r="B20" s="96"/>
      <c r="C20" s="96"/>
      <c r="D20" s="96"/>
      <c r="E20" s="9" t="s">
        <v>24</v>
      </c>
      <c r="F20" s="9" t="s">
        <v>25</v>
      </c>
      <c r="G20" s="9" t="s">
        <v>26</v>
      </c>
      <c r="H20" s="9" t="s">
        <v>27</v>
      </c>
      <c r="I20" s="9" t="s">
        <v>28</v>
      </c>
      <c r="J20" s="9"/>
    </row>
    <row r="21" spans="1:11">
      <c r="A21" s="118" t="s">
        <v>65</v>
      </c>
      <c r="B21" s="111"/>
      <c r="C21" s="111"/>
      <c r="D21" s="112"/>
      <c r="E21" s="52">
        <v>50</v>
      </c>
      <c r="F21" s="2">
        <f t="shared" ref="F21:F23" si="1">E21*H21/$D$10</f>
        <v>26.923076923076898</v>
      </c>
      <c r="G21" s="6">
        <v>50</v>
      </c>
      <c r="H21" s="1">
        <v>70</v>
      </c>
      <c r="I21" s="1">
        <f>H21*G21</f>
        <v>3500</v>
      </c>
      <c r="J21" s="53"/>
    </row>
    <row r="22" spans="1:11">
      <c r="A22" s="118" t="s">
        <v>66</v>
      </c>
      <c r="B22" s="111"/>
      <c r="C22" s="111"/>
      <c r="D22" s="112"/>
      <c r="E22" s="52">
        <v>80</v>
      </c>
      <c r="F22" s="2">
        <f t="shared" si="1"/>
        <v>43.076923076923102</v>
      </c>
      <c r="G22" s="6">
        <v>60</v>
      </c>
      <c r="H22" s="1">
        <v>70</v>
      </c>
      <c r="I22" s="1">
        <f>H22*G22</f>
        <v>4200</v>
      </c>
      <c r="J22" s="50"/>
      <c r="K22" t="s">
        <v>67</v>
      </c>
    </row>
    <row r="23" spans="1:11" s="47" customFormat="1">
      <c r="A23" s="114" t="s">
        <v>39</v>
      </c>
      <c r="B23" s="114" t="s">
        <v>40</v>
      </c>
      <c r="C23" s="114" t="s">
        <v>40</v>
      </c>
      <c r="D23" s="114" t="s">
        <v>40</v>
      </c>
      <c r="E23" s="55">
        <v>50</v>
      </c>
      <c r="F23" s="2">
        <f t="shared" si="1"/>
        <v>26.923076923076898</v>
      </c>
      <c r="G23" s="6">
        <v>80</v>
      </c>
      <c r="H23" s="1">
        <v>70</v>
      </c>
      <c r="I23" s="1">
        <f>H23*G23</f>
        <v>5600</v>
      </c>
      <c r="J23" s="54"/>
    </row>
    <row r="24" spans="1:11" s="47" customFormat="1" ht="15.75">
      <c r="A24" s="101" t="s">
        <v>68</v>
      </c>
      <c r="B24" s="102"/>
      <c r="C24" s="102"/>
      <c r="D24" s="102"/>
      <c r="E24" s="102"/>
      <c r="F24" s="102"/>
      <c r="G24" s="102"/>
      <c r="H24" s="102"/>
      <c r="I24" s="102"/>
      <c r="J24" s="103"/>
    </row>
    <row r="25" spans="1:11" ht="25.5">
      <c r="A25" s="95" t="s">
        <v>23</v>
      </c>
      <c r="B25" s="96"/>
      <c r="C25" s="96"/>
      <c r="D25" s="96"/>
      <c r="E25" s="9" t="s">
        <v>24</v>
      </c>
      <c r="F25" s="9" t="s">
        <v>25</v>
      </c>
      <c r="G25" s="9" t="s">
        <v>26</v>
      </c>
      <c r="H25" s="9" t="s">
        <v>27</v>
      </c>
      <c r="I25" s="9" t="s">
        <v>28</v>
      </c>
      <c r="J25" s="9"/>
    </row>
    <row r="26" spans="1:11">
      <c r="A26" s="104" t="s">
        <v>29</v>
      </c>
      <c r="B26" s="105"/>
      <c r="C26" s="105"/>
      <c r="D26" s="105"/>
      <c r="E26" s="105"/>
      <c r="F26" s="105"/>
      <c r="G26" s="105"/>
      <c r="H26" s="105"/>
      <c r="I26" s="105"/>
      <c r="J26" s="106"/>
    </row>
    <row r="27" spans="1:11">
      <c r="A27" s="138" t="s">
        <v>69</v>
      </c>
      <c r="B27" s="139"/>
      <c r="C27" s="139"/>
      <c r="D27" s="140"/>
      <c r="E27" s="5">
        <v>30</v>
      </c>
      <c r="F27" s="2">
        <f t="shared" ref="F27:F30" si="2">E27*H27/$D$10</f>
        <v>16.153846153846199</v>
      </c>
      <c r="G27" s="6">
        <v>30</v>
      </c>
      <c r="H27" s="52">
        <v>70</v>
      </c>
      <c r="I27" s="2">
        <f>H27*G27</f>
        <v>2100</v>
      </c>
      <c r="J27" s="56"/>
    </row>
    <row r="28" spans="1:11">
      <c r="A28" s="141" t="s">
        <v>70</v>
      </c>
      <c r="B28" s="142"/>
      <c r="C28" s="142"/>
      <c r="D28" s="142"/>
      <c r="E28" s="5">
        <v>30</v>
      </c>
      <c r="F28" s="2">
        <f t="shared" si="2"/>
        <v>16.153846153846199</v>
      </c>
      <c r="G28" s="6">
        <v>30</v>
      </c>
      <c r="H28" s="52">
        <v>70</v>
      </c>
      <c r="I28" s="2">
        <f>H28*G28</f>
        <v>2100</v>
      </c>
      <c r="J28" s="56"/>
      <c r="K28" t="s">
        <v>71</v>
      </c>
    </row>
    <row r="29" spans="1:11">
      <c r="A29" s="141" t="s">
        <v>72</v>
      </c>
      <c r="B29" s="141"/>
      <c r="C29" s="141"/>
      <c r="D29" s="141"/>
      <c r="E29" s="5">
        <v>30</v>
      </c>
      <c r="F29" s="2">
        <f t="shared" si="2"/>
        <v>16.153846153846199</v>
      </c>
      <c r="G29" s="6">
        <v>50</v>
      </c>
      <c r="H29" s="52">
        <v>70</v>
      </c>
      <c r="I29" s="2">
        <f>H29*G29</f>
        <v>3500</v>
      </c>
      <c r="J29" s="56"/>
    </row>
    <row r="30" spans="1:11">
      <c r="A30" s="143" t="s">
        <v>73</v>
      </c>
      <c r="B30" s="143"/>
      <c r="C30" s="143"/>
      <c r="D30" s="143"/>
      <c r="E30" s="1">
        <v>90</v>
      </c>
      <c r="F30" s="2">
        <f t="shared" si="2"/>
        <v>48.461538461538503</v>
      </c>
      <c r="G30" s="1">
        <v>120</v>
      </c>
      <c r="H30" s="1">
        <v>70</v>
      </c>
      <c r="I30" s="2">
        <f>H30*G30</f>
        <v>8400</v>
      </c>
      <c r="J30" s="51"/>
    </row>
    <row r="31" spans="1:11">
      <c r="A31" s="95" t="s">
        <v>74</v>
      </c>
      <c r="B31" s="95"/>
      <c r="C31" s="95"/>
      <c r="D31" s="95"/>
      <c r="E31" s="95"/>
      <c r="F31" s="95"/>
      <c r="G31" s="95"/>
      <c r="H31" s="95"/>
      <c r="I31" s="95"/>
      <c r="J31" s="95"/>
    </row>
    <row r="32" spans="1:11" s="47" customFormat="1" ht="15" customHeight="1">
      <c r="A32" s="143" t="s">
        <v>75</v>
      </c>
      <c r="B32" s="143"/>
      <c r="C32" s="143"/>
      <c r="D32" s="143"/>
      <c r="E32" s="2">
        <v>100</v>
      </c>
      <c r="F32" s="2">
        <f>H32*E32/D10</f>
        <v>30.769230769230798</v>
      </c>
      <c r="G32" s="2">
        <v>90</v>
      </c>
      <c r="H32" s="2">
        <v>40</v>
      </c>
      <c r="I32" s="2">
        <f>H32*G32</f>
        <v>3600</v>
      </c>
      <c r="J32" s="56"/>
    </row>
    <row r="33" spans="1:10" s="47" customFormat="1" ht="15" customHeight="1">
      <c r="A33" s="115" t="s">
        <v>76</v>
      </c>
      <c r="B33" s="116"/>
      <c r="C33" s="116"/>
      <c r="D33" s="117"/>
      <c r="E33" s="52">
        <v>100</v>
      </c>
      <c r="F33" s="2">
        <f>E33*H33/$D$10</f>
        <v>61.538461538461497</v>
      </c>
      <c r="G33" s="6">
        <v>35</v>
      </c>
      <c r="H33" s="2">
        <v>80</v>
      </c>
      <c r="I33" s="2">
        <f>H33*G33</f>
        <v>2800</v>
      </c>
      <c r="J33" s="56"/>
    </row>
    <row r="34" spans="1:10" s="47" customFormat="1" ht="15" customHeight="1">
      <c r="A34" s="118" t="s">
        <v>44</v>
      </c>
      <c r="B34" s="111"/>
      <c r="C34" s="111"/>
      <c r="D34" s="112"/>
      <c r="E34" s="52">
        <v>100</v>
      </c>
      <c r="F34" s="2">
        <f>E34*H34/$D$10</f>
        <v>61.538461538461497</v>
      </c>
      <c r="G34" s="6">
        <v>75</v>
      </c>
      <c r="H34" s="2">
        <v>80</v>
      </c>
      <c r="I34" s="2">
        <f>H34*G34</f>
        <v>6000</v>
      </c>
      <c r="J34" s="56"/>
    </row>
    <row r="35" spans="1:10" s="47" customFormat="1" ht="15" customHeight="1">
      <c r="A35" s="17" t="s">
        <v>46</v>
      </c>
      <c r="B35" s="64"/>
      <c r="C35" s="64"/>
      <c r="D35" s="65"/>
      <c r="E35" s="1">
        <v>100</v>
      </c>
      <c r="F35" s="2">
        <f>E35*H35/$D$10</f>
        <v>30.769230769230798</v>
      </c>
      <c r="G35" s="1">
        <v>180</v>
      </c>
      <c r="H35" s="2">
        <v>40</v>
      </c>
      <c r="I35" s="2">
        <f>H35*G35</f>
        <v>7200</v>
      </c>
      <c r="J35" s="56"/>
    </row>
    <row r="36" spans="1:10">
      <c r="A36" s="119" t="s">
        <v>48</v>
      </c>
      <c r="B36" s="120"/>
      <c r="C36" s="120"/>
      <c r="D36" s="120"/>
      <c r="E36" s="120"/>
      <c r="F36" s="120"/>
      <c r="G36" s="120"/>
      <c r="H36" s="120"/>
      <c r="I36" s="120"/>
      <c r="J36" s="57">
        <f>SUM(I15:I35)</f>
        <v>71400</v>
      </c>
    </row>
    <row r="37" spans="1:10">
      <c r="A37" s="121" t="s">
        <v>49</v>
      </c>
      <c r="B37" s="122"/>
      <c r="C37" s="122"/>
      <c r="D37" s="122"/>
      <c r="E37" s="122"/>
      <c r="F37" s="122"/>
      <c r="G37" s="122"/>
      <c r="H37" s="122"/>
      <c r="I37" s="122"/>
      <c r="J37" s="58">
        <f>SUM(F13:F35)</f>
        <v>520</v>
      </c>
    </row>
    <row r="38" spans="1:10" ht="15.75">
      <c r="A38" s="89" t="s">
        <v>50</v>
      </c>
      <c r="B38" s="90"/>
      <c r="C38" s="90"/>
      <c r="D38" s="90"/>
      <c r="E38" s="90"/>
      <c r="F38" s="90"/>
      <c r="G38" s="90"/>
      <c r="H38" s="90"/>
      <c r="I38" s="90"/>
      <c r="J38" s="90"/>
    </row>
    <row r="39" spans="1:10" ht="25.5">
      <c r="A39" s="95" t="s">
        <v>23</v>
      </c>
      <c r="B39" s="96"/>
      <c r="C39" s="96"/>
      <c r="D39" s="96"/>
      <c r="E39" s="9" t="s">
        <v>24</v>
      </c>
      <c r="F39" s="9" t="s">
        <v>25</v>
      </c>
      <c r="G39" s="9" t="s">
        <v>26</v>
      </c>
      <c r="H39" s="9" t="s">
        <v>27</v>
      </c>
      <c r="I39" s="9" t="s">
        <v>28</v>
      </c>
      <c r="J39" s="9"/>
    </row>
    <row r="40" spans="1:10">
      <c r="A40" s="118" t="s">
        <v>51</v>
      </c>
      <c r="B40" s="111"/>
      <c r="C40" s="111"/>
      <c r="D40" s="112"/>
      <c r="E40" s="52">
        <v>200</v>
      </c>
      <c r="F40" s="6"/>
      <c r="G40" s="52">
        <v>35</v>
      </c>
      <c r="H40" s="52">
        <v>80</v>
      </c>
      <c r="I40" s="6">
        <f>G40*H40</f>
        <v>2800</v>
      </c>
      <c r="J40" s="50"/>
    </row>
    <row r="41" spans="1:10">
      <c r="A41" s="123" t="s">
        <v>52</v>
      </c>
      <c r="B41" s="124"/>
      <c r="C41" s="124"/>
      <c r="D41" s="124"/>
      <c r="E41" s="59" t="s">
        <v>53</v>
      </c>
      <c r="F41" s="6"/>
      <c r="G41" s="59">
        <v>100</v>
      </c>
      <c r="H41" s="50">
        <v>100</v>
      </c>
      <c r="I41" s="6">
        <f>G41*H41</f>
        <v>10000</v>
      </c>
      <c r="J41" s="50"/>
    </row>
    <row r="42" spans="1:10">
      <c r="A42" s="123" t="s">
        <v>54</v>
      </c>
      <c r="B42" s="123"/>
      <c r="C42" s="123"/>
      <c r="D42" s="123"/>
      <c r="E42" s="59">
        <v>10</v>
      </c>
      <c r="F42" s="6"/>
      <c r="G42" s="59">
        <v>20</v>
      </c>
      <c r="H42" s="50">
        <v>100</v>
      </c>
      <c r="I42" s="6">
        <f>G42*H42</f>
        <v>2000</v>
      </c>
      <c r="J42" s="50"/>
    </row>
    <row r="43" spans="1:10">
      <c r="A43" s="119" t="s">
        <v>55</v>
      </c>
      <c r="B43" s="120"/>
      <c r="C43" s="120"/>
      <c r="D43" s="120"/>
      <c r="E43" s="120"/>
      <c r="F43" s="120"/>
      <c r="G43" s="120"/>
      <c r="H43" s="120"/>
      <c r="I43" s="120"/>
      <c r="J43" s="24">
        <f>SUM(I40:I42)</f>
        <v>14800</v>
      </c>
    </row>
    <row r="44" spans="1:10">
      <c r="A44" s="125" t="s">
        <v>56</v>
      </c>
      <c r="B44" s="126"/>
      <c r="C44" s="126"/>
      <c r="D44" s="126"/>
      <c r="E44" s="126"/>
      <c r="F44" s="126"/>
      <c r="G44" s="126"/>
      <c r="H44" s="126"/>
      <c r="I44" s="127"/>
      <c r="J44" s="24">
        <v>11600</v>
      </c>
    </row>
    <row r="45" spans="1:10" ht="15.75">
      <c r="A45" s="128" t="s">
        <v>57</v>
      </c>
      <c r="B45" s="129"/>
      <c r="C45" s="129"/>
      <c r="D45" s="129"/>
      <c r="E45" s="129"/>
      <c r="F45" s="129"/>
      <c r="G45" s="129"/>
      <c r="H45" s="129"/>
      <c r="I45" s="129"/>
      <c r="J45" s="61">
        <f>J36+J43+J44</f>
        <v>97800</v>
      </c>
    </row>
    <row r="46" spans="1:10">
      <c r="A46" s="121" t="s">
        <v>58</v>
      </c>
      <c r="B46" s="122"/>
      <c r="C46" s="122"/>
      <c r="D46" s="122"/>
      <c r="E46" s="122"/>
      <c r="F46" s="122"/>
      <c r="G46" s="122"/>
      <c r="H46" s="122"/>
      <c r="I46" s="122"/>
      <c r="J46" s="62">
        <f>J45/$D$10</f>
        <v>752.30769230769204</v>
      </c>
    </row>
  </sheetData>
  <mergeCells count="54">
    <mergeCell ref="A44:I44"/>
    <mergeCell ref="A45:I45"/>
    <mergeCell ref="A46:I46"/>
    <mergeCell ref="A1:J4"/>
    <mergeCell ref="A6:C7"/>
    <mergeCell ref="D6:E7"/>
    <mergeCell ref="I6:J7"/>
    <mergeCell ref="A39:D39"/>
    <mergeCell ref="A40:D40"/>
    <mergeCell ref="A41:D41"/>
    <mergeCell ref="A42:D42"/>
    <mergeCell ref="A43:I43"/>
    <mergeCell ref="A33:D33"/>
    <mergeCell ref="A34:D34"/>
    <mergeCell ref="A36:I36"/>
    <mergeCell ref="A37:I37"/>
    <mergeCell ref="A38:J38"/>
    <mergeCell ref="A28:D28"/>
    <mergeCell ref="A29:D29"/>
    <mergeCell ref="A30:D30"/>
    <mergeCell ref="A31:J31"/>
    <mergeCell ref="A32:D32"/>
    <mergeCell ref="A23:D23"/>
    <mergeCell ref="A24:J24"/>
    <mergeCell ref="A25:D25"/>
    <mergeCell ref="A26:J26"/>
    <mergeCell ref="A27:D27"/>
    <mergeCell ref="A18:D18"/>
    <mergeCell ref="A19:J19"/>
    <mergeCell ref="A20:D20"/>
    <mergeCell ref="A21:D21"/>
    <mergeCell ref="A22:D22"/>
    <mergeCell ref="A13:J13"/>
    <mergeCell ref="A14:D14"/>
    <mergeCell ref="A15:J15"/>
    <mergeCell ref="A16:D16"/>
    <mergeCell ref="A17:D17"/>
    <mergeCell ref="A11:D11"/>
    <mergeCell ref="E11:H11"/>
    <mergeCell ref="I11:J11"/>
    <mergeCell ref="A12:D12"/>
    <mergeCell ref="E12:H12"/>
    <mergeCell ref="I12:J12"/>
    <mergeCell ref="B9:C9"/>
    <mergeCell ref="G9:H9"/>
    <mergeCell ref="I9:J9"/>
    <mergeCell ref="B10:C10"/>
    <mergeCell ref="G10:H10"/>
    <mergeCell ref="I10:J10"/>
    <mergeCell ref="A5:J5"/>
    <mergeCell ref="F6:H6"/>
    <mergeCell ref="A8:C8"/>
    <mergeCell ref="D8:E8"/>
    <mergeCell ref="I8:J8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2" tint="0.59999389629810485"/>
  </sheetPr>
  <dimension ref="A1:K47"/>
  <sheetViews>
    <sheetView topLeftCell="A11" workbookViewId="0">
      <selection activeCell="K22" sqref="K22"/>
    </sheetView>
  </sheetViews>
  <sheetFormatPr defaultColWidth="9" defaultRowHeight="15"/>
  <cols>
    <col min="1" max="1" width="10.69921875" customWidth="1"/>
    <col min="2" max="9" width="5.19921875" customWidth="1"/>
    <col min="10" max="10" width="10.69921875" customWidth="1"/>
  </cols>
  <sheetData>
    <row r="1" spans="1:11" ht="24.95" customHeight="1">
      <c r="A1" s="86"/>
      <c r="B1" s="86"/>
      <c r="C1" s="86"/>
      <c r="D1" s="144"/>
      <c r="E1" s="144"/>
      <c r="F1" s="144"/>
      <c r="G1" s="144"/>
      <c r="H1" s="144"/>
      <c r="I1" s="144"/>
      <c r="J1" s="144"/>
    </row>
    <row r="2" spans="1:11" ht="24.95" customHeight="1">
      <c r="A2" s="144"/>
      <c r="B2" s="144"/>
      <c r="C2" s="144"/>
      <c r="D2" s="144"/>
      <c r="E2" s="144"/>
      <c r="F2" s="144"/>
      <c r="G2" s="144"/>
      <c r="H2" s="144"/>
      <c r="I2" s="144"/>
      <c r="J2" s="144"/>
    </row>
    <row r="3" spans="1:11" ht="24.95" customHeight="1">
      <c r="A3" s="144"/>
      <c r="B3" s="144"/>
      <c r="C3" s="144"/>
      <c r="D3" s="144"/>
      <c r="E3" s="144"/>
      <c r="F3" s="144"/>
      <c r="G3" s="144"/>
      <c r="H3" s="144"/>
      <c r="I3" s="144"/>
      <c r="J3" s="144"/>
    </row>
    <row r="4" spans="1:11" ht="24.95" customHeight="1">
      <c r="A4" s="145"/>
      <c r="B4" s="145"/>
      <c r="C4" s="145"/>
      <c r="D4" s="145"/>
      <c r="E4" s="145"/>
      <c r="F4" s="145"/>
      <c r="G4" s="145"/>
      <c r="H4" s="145"/>
      <c r="I4" s="145"/>
      <c r="J4" s="145"/>
    </row>
    <row r="5" spans="1:11" ht="15.75">
      <c r="A5" s="89" t="s">
        <v>0</v>
      </c>
      <c r="B5" s="90"/>
      <c r="C5" s="90"/>
      <c r="D5" s="90"/>
      <c r="E5" s="90"/>
      <c r="F5" s="90"/>
      <c r="G5" s="90"/>
      <c r="H5" s="90"/>
      <c r="I5" s="90"/>
      <c r="J5" s="90"/>
    </row>
    <row r="6" spans="1:11">
      <c r="A6" s="95" t="s">
        <v>1</v>
      </c>
      <c r="B6" s="96"/>
      <c r="C6" s="96"/>
      <c r="D6" s="95" t="s">
        <v>2</v>
      </c>
      <c r="E6" s="96"/>
      <c r="F6" s="91" t="s">
        <v>3</v>
      </c>
      <c r="G6" s="92"/>
      <c r="H6" s="93"/>
      <c r="I6" s="95" t="s">
        <v>4</v>
      </c>
      <c r="J6" s="96"/>
    </row>
    <row r="7" spans="1:11" ht="24.95" customHeight="1">
      <c r="A7" s="96"/>
      <c r="B7" s="96"/>
      <c r="C7" s="96"/>
      <c r="D7" s="96"/>
      <c r="E7" s="96"/>
      <c r="F7" s="10" t="s">
        <v>5</v>
      </c>
      <c r="G7" s="9" t="s">
        <v>6</v>
      </c>
      <c r="H7" s="9" t="s">
        <v>7</v>
      </c>
      <c r="I7" s="96"/>
      <c r="J7" s="96"/>
    </row>
    <row r="8" spans="1:11">
      <c r="A8" s="94" t="s">
        <v>8</v>
      </c>
      <c r="B8" s="94"/>
      <c r="C8" s="94"/>
      <c r="D8" s="94" t="s">
        <v>9</v>
      </c>
      <c r="E8" s="94"/>
      <c r="F8" s="11"/>
      <c r="G8" s="12">
        <v>0.625</v>
      </c>
      <c r="H8" s="12"/>
      <c r="I8" s="94" t="s">
        <v>10</v>
      </c>
      <c r="J8" s="94"/>
    </row>
    <row r="9" spans="1:11">
      <c r="A9" s="9" t="s">
        <v>11</v>
      </c>
      <c r="B9" s="95" t="s">
        <v>12</v>
      </c>
      <c r="C9" s="96"/>
      <c r="D9" s="9" t="s">
        <v>13</v>
      </c>
      <c r="E9" s="9" t="s">
        <v>14</v>
      </c>
      <c r="F9" s="48" t="s">
        <v>15</v>
      </c>
      <c r="G9" s="95" t="s">
        <v>16</v>
      </c>
      <c r="H9" s="96"/>
      <c r="I9" s="95" t="s">
        <v>17</v>
      </c>
      <c r="J9" s="96"/>
    </row>
    <row r="10" spans="1:11">
      <c r="A10" s="14">
        <v>46161</v>
      </c>
      <c r="B10" s="94"/>
      <c r="C10" s="94"/>
      <c r="D10" s="15">
        <v>130</v>
      </c>
      <c r="E10" s="16"/>
      <c r="F10" s="16"/>
      <c r="G10" s="94"/>
      <c r="H10" s="94"/>
      <c r="I10" s="94"/>
      <c r="J10" s="94"/>
    </row>
    <row r="11" spans="1:11">
      <c r="A11" s="97" t="s">
        <v>18</v>
      </c>
      <c r="B11" s="98"/>
      <c r="C11" s="98"/>
      <c r="D11" s="98"/>
      <c r="E11" s="95" t="s">
        <v>19</v>
      </c>
      <c r="F11" s="95"/>
      <c r="G11" s="96"/>
      <c r="H11" s="96"/>
      <c r="I11" s="95" t="s">
        <v>20</v>
      </c>
      <c r="J11" s="96"/>
    </row>
    <row r="12" spans="1:11">
      <c r="A12" s="99" t="s">
        <v>21</v>
      </c>
      <c r="B12" s="99"/>
      <c r="C12" s="99"/>
      <c r="D12" s="99"/>
      <c r="E12" s="100"/>
      <c r="F12" s="100"/>
      <c r="G12" s="94"/>
      <c r="H12" s="94"/>
      <c r="I12" s="99"/>
      <c r="J12" s="99"/>
    </row>
    <row r="13" spans="1:11" ht="15.75">
      <c r="A13" s="101" t="s">
        <v>59</v>
      </c>
      <c r="B13" s="102"/>
      <c r="C13" s="102"/>
      <c r="D13" s="102"/>
      <c r="E13" s="102"/>
      <c r="F13" s="102"/>
      <c r="G13" s="102"/>
      <c r="H13" s="102"/>
      <c r="I13" s="102"/>
      <c r="J13" s="103"/>
    </row>
    <row r="14" spans="1:11" ht="24.95" customHeight="1">
      <c r="A14" s="95" t="s">
        <v>23</v>
      </c>
      <c r="B14" s="96"/>
      <c r="C14" s="96"/>
      <c r="D14" s="96"/>
      <c r="E14" s="9" t="s">
        <v>24</v>
      </c>
      <c r="F14" s="9" t="s">
        <v>25</v>
      </c>
      <c r="G14" s="9" t="s">
        <v>26</v>
      </c>
      <c r="H14" s="9" t="s">
        <v>27</v>
      </c>
      <c r="I14" s="9" t="s">
        <v>28</v>
      </c>
      <c r="J14" s="9"/>
    </row>
    <row r="15" spans="1:11">
      <c r="A15" s="104" t="s">
        <v>29</v>
      </c>
      <c r="B15" s="105"/>
      <c r="C15" s="105"/>
      <c r="D15" s="105"/>
      <c r="E15" s="105"/>
      <c r="F15" s="105"/>
      <c r="G15" s="105"/>
      <c r="H15" s="105"/>
      <c r="I15" s="105"/>
      <c r="J15" s="106"/>
    </row>
    <row r="16" spans="1:11" ht="24.95" customHeight="1">
      <c r="A16" s="146" t="s">
        <v>77</v>
      </c>
      <c r="B16" s="147"/>
      <c r="C16" s="147"/>
      <c r="D16" s="148"/>
      <c r="E16" s="70">
        <v>35</v>
      </c>
      <c r="F16" s="71">
        <v>0</v>
      </c>
      <c r="G16" s="6">
        <v>150</v>
      </c>
      <c r="H16" s="5">
        <v>80</v>
      </c>
      <c r="I16" s="6">
        <f>G16*H16</f>
        <v>12000</v>
      </c>
      <c r="J16" s="50"/>
      <c r="K16" t="s">
        <v>78</v>
      </c>
    </row>
    <row r="17" spans="1:10" ht="24.95" customHeight="1">
      <c r="A17" s="146" t="s">
        <v>79</v>
      </c>
      <c r="B17" s="147"/>
      <c r="C17" s="147"/>
      <c r="D17" s="148"/>
      <c r="E17" s="70">
        <v>30</v>
      </c>
      <c r="F17" s="71">
        <v>0</v>
      </c>
      <c r="G17" s="71">
        <v>160</v>
      </c>
      <c r="H17" s="5">
        <v>80</v>
      </c>
      <c r="I17" s="6">
        <f>G17*H17</f>
        <v>12800</v>
      </c>
      <c r="J17" s="50"/>
    </row>
    <row r="18" spans="1:10" ht="15.75" customHeight="1">
      <c r="A18" s="107" t="s">
        <v>80</v>
      </c>
      <c r="B18" s="108"/>
      <c r="C18" s="108"/>
      <c r="D18" s="109"/>
      <c r="E18" s="1">
        <v>60</v>
      </c>
      <c r="F18" s="2">
        <v>0</v>
      </c>
      <c r="G18" s="2">
        <v>80</v>
      </c>
      <c r="H18" s="2">
        <v>80</v>
      </c>
      <c r="I18" s="6">
        <f>G18*H18</f>
        <v>6400</v>
      </c>
      <c r="J18" s="69"/>
    </row>
    <row r="19" spans="1:10" ht="15.75">
      <c r="A19" s="89" t="s">
        <v>64</v>
      </c>
      <c r="B19" s="90"/>
      <c r="C19" s="90"/>
      <c r="D19" s="90"/>
      <c r="E19" s="90"/>
      <c r="F19" s="90"/>
      <c r="G19" s="90"/>
      <c r="H19" s="90"/>
      <c r="I19" s="90"/>
      <c r="J19" s="90"/>
    </row>
    <row r="20" spans="1:10" ht="24.95" customHeight="1">
      <c r="A20" s="95" t="s">
        <v>23</v>
      </c>
      <c r="B20" s="96"/>
      <c r="C20" s="96"/>
      <c r="D20" s="96"/>
      <c r="E20" s="9" t="s">
        <v>24</v>
      </c>
      <c r="F20" s="9" t="s">
        <v>25</v>
      </c>
      <c r="G20" s="9" t="s">
        <v>26</v>
      </c>
      <c r="H20" s="9" t="s">
        <v>27</v>
      </c>
      <c r="I20" s="9" t="s">
        <v>28</v>
      </c>
      <c r="J20" s="9"/>
    </row>
    <row r="21" spans="1:10" ht="15" customHeight="1">
      <c r="A21" s="149" t="s">
        <v>41</v>
      </c>
      <c r="B21" s="150"/>
      <c r="C21" s="150"/>
      <c r="D21" s="151"/>
      <c r="E21" s="55">
        <v>55</v>
      </c>
      <c r="F21" s="71">
        <v>0</v>
      </c>
      <c r="G21" s="6">
        <v>90</v>
      </c>
      <c r="H21" s="1">
        <v>70</v>
      </c>
      <c r="I21" s="1">
        <f>H21*G21</f>
        <v>6300</v>
      </c>
      <c r="J21" s="53"/>
    </row>
    <row r="22" spans="1:10" ht="15" customHeight="1">
      <c r="A22" s="149" t="s">
        <v>81</v>
      </c>
      <c r="B22" s="150"/>
      <c r="C22" s="150"/>
      <c r="D22" s="151"/>
      <c r="E22" s="55">
        <v>60</v>
      </c>
      <c r="F22" s="71">
        <v>0</v>
      </c>
      <c r="G22" s="6">
        <v>90</v>
      </c>
      <c r="H22" s="52">
        <v>70</v>
      </c>
      <c r="I22" s="1">
        <f>H22*G22</f>
        <v>6300</v>
      </c>
      <c r="J22" s="50"/>
    </row>
    <row r="23" spans="1:10">
      <c r="A23" s="152" t="s">
        <v>82</v>
      </c>
      <c r="B23" s="153"/>
      <c r="C23" s="153"/>
      <c r="D23" s="154"/>
      <c r="E23" s="55">
        <v>5</v>
      </c>
      <c r="F23" s="71">
        <v>0</v>
      </c>
      <c r="G23" s="6">
        <v>10</v>
      </c>
      <c r="H23" s="52">
        <v>200</v>
      </c>
      <c r="I23" s="1">
        <f>H23*G23</f>
        <v>2000</v>
      </c>
      <c r="J23" s="50"/>
    </row>
    <row r="24" spans="1:10">
      <c r="A24" s="114" t="s">
        <v>39</v>
      </c>
      <c r="B24" s="114" t="s">
        <v>40</v>
      </c>
      <c r="C24" s="114" t="s">
        <v>40</v>
      </c>
      <c r="D24" s="114" t="s">
        <v>40</v>
      </c>
      <c r="E24" s="55">
        <v>50</v>
      </c>
      <c r="F24" s="2">
        <f t="shared" ref="F24" si="0">E24*H24/$D$10</f>
        <v>26.923076923076898</v>
      </c>
      <c r="G24" s="6">
        <v>80</v>
      </c>
      <c r="H24" s="50">
        <v>70</v>
      </c>
      <c r="I24" s="1">
        <f>H24*G24</f>
        <v>5600</v>
      </c>
      <c r="J24" s="54"/>
    </row>
    <row r="25" spans="1:10" ht="15.75">
      <c r="A25" s="101" t="s">
        <v>68</v>
      </c>
      <c r="B25" s="102"/>
      <c r="C25" s="102"/>
      <c r="D25" s="102"/>
      <c r="E25" s="102"/>
      <c r="F25" s="102"/>
      <c r="G25" s="102"/>
      <c r="H25" s="102"/>
      <c r="I25" s="102"/>
      <c r="J25" s="103"/>
    </row>
    <row r="26" spans="1:10" ht="24.95" customHeight="1">
      <c r="A26" s="95" t="s">
        <v>23</v>
      </c>
      <c r="B26" s="96"/>
      <c r="C26" s="96"/>
      <c r="D26" s="96"/>
      <c r="E26" s="9" t="s">
        <v>24</v>
      </c>
      <c r="F26" s="9" t="s">
        <v>25</v>
      </c>
      <c r="G26" s="9" t="s">
        <v>26</v>
      </c>
      <c r="H26" s="9" t="s">
        <v>27</v>
      </c>
      <c r="I26" s="9" t="s">
        <v>28</v>
      </c>
      <c r="J26" s="9"/>
    </row>
    <row r="27" spans="1:10">
      <c r="A27" s="104" t="s">
        <v>29</v>
      </c>
      <c r="B27" s="105"/>
      <c r="C27" s="105"/>
      <c r="D27" s="105"/>
      <c r="E27" s="105"/>
      <c r="F27" s="105"/>
      <c r="G27" s="105"/>
      <c r="H27" s="105"/>
      <c r="I27" s="105"/>
      <c r="J27" s="106"/>
    </row>
    <row r="28" spans="1:10">
      <c r="A28" s="138" t="s">
        <v>69</v>
      </c>
      <c r="B28" s="139"/>
      <c r="C28" s="139"/>
      <c r="D28" s="140"/>
      <c r="E28" s="5">
        <v>30</v>
      </c>
      <c r="F28" s="2">
        <f t="shared" ref="F28:F31" si="1">E28*H28/$D$10</f>
        <v>16.153846153846199</v>
      </c>
      <c r="G28" s="6">
        <v>30</v>
      </c>
      <c r="H28" s="52">
        <v>70</v>
      </c>
      <c r="I28" s="2">
        <f>H28*G28</f>
        <v>2100</v>
      </c>
      <c r="J28" s="56"/>
    </row>
    <row r="29" spans="1:10">
      <c r="A29" s="141" t="s">
        <v>70</v>
      </c>
      <c r="B29" s="142"/>
      <c r="C29" s="142"/>
      <c r="D29" s="142"/>
      <c r="E29" s="5">
        <v>30</v>
      </c>
      <c r="F29" s="2">
        <f t="shared" si="1"/>
        <v>16.153846153846199</v>
      </c>
      <c r="G29" s="6">
        <v>30</v>
      </c>
      <c r="H29" s="52">
        <v>70</v>
      </c>
      <c r="I29" s="2">
        <f>H29*G29</f>
        <v>2100</v>
      </c>
      <c r="J29" s="56"/>
    </row>
    <row r="30" spans="1:10">
      <c r="A30" s="141" t="s">
        <v>72</v>
      </c>
      <c r="B30" s="141"/>
      <c r="C30" s="141"/>
      <c r="D30" s="141"/>
      <c r="E30" s="5">
        <v>30</v>
      </c>
      <c r="F30" s="2">
        <f t="shared" si="1"/>
        <v>16.153846153846199</v>
      </c>
      <c r="G30" s="6">
        <v>50</v>
      </c>
      <c r="H30" s="52">
        <v>70</v>
      </c>
      <c r="I30" s="2">
        <f>H30*G30</f>
        <v>3500</v>
      </c>
      <c r="J30" s="56"/>
    </row>
    <row r="31" spans="1:10">
      <c r="A31" s="143" t="s">
        <v>83</v>
      </c>
      <c r="B31" s="143"/>
      <c r="C31" s="143"/>
      <c r="D31" s="143"/>
      <c r="E31" s="1">
        <v>90</v>
      </c>
      <c r="F31" s="2">
        <f t="shared" si="1"/>
        <v>48.461538461538503</v>
      </c>
      <c r="G31" s="1">
        <v>110</v>
      </c>
      <c r="H31" s="1">
        <v>70</v>
      </c>
      <c r="I31" s="2">
        <f>H31*G31</f>
        <v>7700</v>
      </c>
      <c r="J31" s="51"/>
    </row>
    <row r="32" spans="1:10">
      <c r="A32" s="95" t="s">
        <v>74</v>
      </c>
      <c r="B32" s="95"/>
      <c r="C32" s="95"/>
      <c r="D32" s="95"/>
      <c r="E32" s="95"/>
      <c r="F32" s="95"/>
      <c r="G32" s="95"/>
      <c r="H32" s="95"/>
      <c r="I32" s="95"/>
      <c r="J32" s="95"/>
    </row>
    <row r="33" spans="1:11">
      <c r="A33" s="143" t="s">
        <v>75</v>
      </c>
      <c r="B33" s="143"/>
      <c r="C33" s="143"/>
      <c r="D33" s="143"/>
      <c r="E33" s="2">
        <v>100</v>
      </c>
      <c r="F33" s="2">
        <f>H33*E33/D10</f>
        <v>30.769230769230798</v>
      </c>
      <c r="G33" s="2">
        <v>90</v>
      </c>
      <c r="H33" s="2">
        <v>40</v>
      </c>
      <c r="I33" s="2">
        <f>H33*G33</f>
        <v>3600</v>
      </c>
      <c r="J33" s="56"/>
    </row>
    <row r="34" spans="1:11" ht="30">
      <c r="A34" s="115" t="s">
        <v>76</v>
      </c>
      <c r="B34" s="116"/>
      <c r="C34" s="116"/>
      <c r="D34" s="117"/>
      <c r="E34" s="52">
        <v>100</v>
      </c>
      <c r="F34" s="2">
        <f>E34*H34/$D$10</f>
        <v>61.538461538461497</v>
      </c>
      <c r="G34" s="6">
        <v>35</v>
      </c>
      <c r="H34" s="2">
        <v>80</v>
      </c>
      <c r="I34" s="2">
        <f>H34*G34</f>
        <v>2800</v>
      </c>
      <c r="J34" s="56"/>
      <c r="K34" t="s">
        <v>84</v>
      </c>
    </row>
    <row r="35" spans="1:11">
      <c r="A35" s="118" t="s">
        <v>44</v>
      </c>
      <c r="B35" s="111"/>
      <c r="C35" s="111"/>
      <c r="D35" s="112"/>
      <c r="E35" s="52">
        <v>100</v>
      </c>
      <c r="F35" s="2">
        <f>E35*H35/$D$10</f>
        <v>61.538461538461497</v>
      </c>
      <c r="G35" s="6">
        <v>75</v>
      </c>
      <c r="H35" s="2">
        <v>80</v>
      </c>
      <c r="I35" s="2">
        <f>H35*G35</f>
        <v>6000</v>
      </c>
      <c r="J35" s="56"/>
    </row>
    <row r="36" spans="1:11">
      <c r="A36" s="17" t="s">
        <v>46</v>
      </c>
      <c r="B36" s="64"/>
      <c r="C36" s="64"/>
      <c r="D36" s="65"/>
      <c r="E36" s="1">
        <v>100</v>
      </c>
      <c r="F36" s="2">
        <f>E36*H36/$D$10</f>
        <v>30.769230769230798</v>
      </c>
      <c r="G36" s="1">
        <v>180</v>
      </c>
      <c r="H36" s="2">
        <v>40</v>
      </c>
      <c r="I36" s="2">
        <f>H36*G36</f>
        <v>7200</v>
      </c>
      <c r="J36" s="56"/>
    </row>
    <row r="37" spans="1:11">
      <c r="A37" s="119" t="s">
        <v>48</v>
      </c>
      <c r="B37" s="120"/>
      <c r="C37" s="120"/>
      <c r="D37" s="120"/>
      <c r="E37" s="120"/>
      <c r="F37" s="120"/>
      <c r="G37" s="120"/>
      <c r="H37" s="120"/>
      <c r="I37" s="120"/>
      <c r="J37" s="57">
        <f>SUM(I15:I36)</f>
        <v>86400</v>
      </c>
    </row>
    <row r="38" spans="1:11">
      <c r="A38" s="121" t="s">
        <v>49</v>
      </c>
      <c r="B38" s="122"/>
      <c r="C38" s="122"/>
      <c r="D38" s="122"/>
      <c r="E38" s="122"/>
      <c r="F38" s="122"/>
      <c r="G38" s="122"/>
      <c r="H38" s="122"/>
      <c r="I38" s="122"/>
      <c r="J38" s="58">
        <f>SUM(F13:F36)</f>
        <v>308.461538461538</v>
      </c>
    </row>
    <row r="39" spans="1:11" ht="15.75">
      <c r="A39" s="89" t="s">
        <v>50</v>
      </c>
      <c r="B39" s="90"/>
      <c r="C39" s="90"/>
      <c r="D39" s="90"/>
      <c r="E39" s="90"/>
      <c r="F39" s="90"/>
      <c r="G39" s="90"/>
      <c r="H39" s="90"/>
      <c r="I39" s="90"/>
      <c r="J39" s="90"/>
    </row>
    <row r="40" spans="1:11" ht="25.5">
      <c r="A40" s="95" t="s">
        <v>23</v>
      </c>
      <c r="B40" s="96"/>
      <c r="C40" s="96"/>
      <c r="D40" s="96"/>
      <c r="E40" s="9" t="s">
        <v>24</v>
      </c>
      <c r="F40" s="9" t="s">
        <v>25</v>
      </c>
      <c r="G40" s="9" t="s">
        <v>26</v>
      </c>
      <c r="H40" s="9" t="s">
        <v>27</v>
      </c>
      <c r="I40" s="9" t="s">
        <v>28</v>
      </c>
      <c r="J40" s="9"/>
    </row>
    <row r="41" spans="1:11">
      <c r="A41" s="118" t="s">
        <v>51</v>
      </c>
      <c r="B41" s="111"/>
      <c r="C41" s="111"/>
      <c r="D41" s="112"/>
      <c r="E41" s="52">
        <v>200</v>
      </c>
      <c r="F41" s="6"/>
      <c r="G41" s="52">
        <v>35</v>
      </c>
      <c r="H41" s="52">
        <v>80</v>
      </c>
      <c r="I41" s="6">
        <f>G41*H41</f>
        <v>2800</v>
      </c>
      <c r="J41" s="50"/>
    </row>
    <row r="42" spans="1:11">
      <c r="A42" s="123" t="s">
        <v>52</v>
      </c>
      <c r="B42" s="124"/>
      <c r="C42" s="124"/>
      <c r="D42" s="124"/>
      <c r="E42" s="59" t="s">
        <v>53</v>
      </c>
      <c r="F42" s="6"/>
      <c r="G42" s="59">
        <v>100</v>
      </c>
      <c r="H42" s="50">
        <v>100</v>
      </c>
      <c r="I42" s="6">
        <f>G42*H42</f>
        <v>10000</v>
      </c>
      <c r="J42" s="50"/>
    </row>
    <row r="43" spans="1:11">
      <c r="A43" s="123" t="s">
        <v>54</v>
      </c>
      <c r="B43" s="123"/>
      <c r="C43" s="123"/>
      <c r="D43" s="123"/>
      <c r="E43" s="59">
        <v>10</v>
      </c>
      <c r="F43" s="6"/>
      <c r="G43" s="59">
        <v>20</v>
      </c>
      <c r="H43" s="50">
        <v>100</v>
      </c>
      <c r="I43" s="6">
        <f>G43*H43</f>
        <v>2000</v>
      </c>
      <c r="J43" s="50"/>
    </row>
    <row r="44" spans="1:11">
      <c r="A44" s="119" t="s">
        <v>55</v>
      </c>
      <c r="B44" s="120"/>
      <c r="C44" s="120"/>
      <c r="D44" s="120"/>
      <c r="E44" s="120"/>
      <c r="F44" s="120"/>
      <c r="G44" s="120"/>
      <c r="H44" s="120"/>
      <c r="I44" s="120"/>
      <c r="J44" s="24">
        <f>SUM(I41:I43)</f>
        <v>14800</v>
      </c>
    </row>
    <row r="45" spans="1:11">
      <c r="A45" s="125" t="s">
        <v>56</v>
      </c>
      <c r="B45" s="126"/>
      <c r="C45" s="126"/>
      <c r="D45" s="126"/>
      <c r="E45" s="126"/>
      <c r="F45" s="126"/>
      <c r="G45" s="126"/>
      <c r="H45" s="126"/>
      <c r="I45" s="127"/>
      <c r="J45" s="24">
        <v>11600</v>
      </c>
    </row>
    <row r="46" spans="1:11" ht="15.75">
      <c r="A46" s="128" t="s">
        <v>57</v>
      </c>
      <c r="B46" s="129"/>
      <c r="C46" s="129"/>
      <c r="D46" s="129"/>
      <c r="E46" s="129"/>
      <c r="F46" s="129"/>
      <c r="G46" s="129"/>
      <c r="H46" s="129"/>
      <c r="I46" s="129"/>
      <c r="J46" s="61">
        <f>J37+J44+J45</f>
        <v>112800</v>
      </c>
    </row>
    <row r="47" spans="1:11">
      <c r="A47" s="121" t="s">
        <v>58</v>
      </c>
      <c r="B47" s="122"/>
      <c r="C47" s="122"/>
      <c r="D47" s="122"/>
      <c r="E47" s="122"/>
      <c r="F47" s="122"/>
      <c r="G47" s="122"/>
      <c r="H47" s="122"/>
      <c r="I47" s="122"/>
      <c r="J47" s="62">
        <f>J46/$D$10</f>
        <v>867.69230769230796</v>
      </c>
    </row>
  </sheetData>
  <mergeCells count="55">
    <mergeCell ref="A44:I44"/>
    <mergeCell ref="A45:I45"/>
    <mergeCell ref="A46:I46"/>
    <mergeCell ref="A47:I47"/>
    <mergeCell ref="A1:J4"/>
    <mergeCell ref="A6:C7"/>
    <mergeCell ref="D6:E7"/>
    <mergeCell ref="I6:J7"/>
    <mergeCell ref="A39:J39"/>
    <mergeCell ref="A40:D40"/>
    <mergeCell ref="A41:D41"/>
    <mergeCell ref="A42:D42"/>
    <mergeCell ref="A43:D43"/>
    <mergeCell ref="A33:D33"/>
    <mergeCell ref="A34:D34"/>
    <mergeCell ref="A35:D35"/>
    <mergeCell ref="A37:I37"/>
    <mergeCell ref="A38:I38"/>
    <mergeCell ref="A28:D28"/>
    <mergeCell ref="A29:D29"/>
    <mergeCell ref="A30:D30"/>
    <mergeCell ref="A31:D31"/>
    <mergeCell ref="A32:J32"/>
    <mergeCell ref="A23:D23"/>
    <mergeCell ref="A24:D24"/>
    <mergeCell ref="A25:J25"/>
    <mergeCell ref="A26:D26"/>
    <mergeCell ref="A27:J27"/>
    <mergeCell ref="A18:D18"/>
    <mergeCell ref="A19:J19"/>
    <mergeCell ref="A20:D20"/>
    <mergeCell ref="A21:D21"/>
    <mergeCell ref="A22:D22"/>
    <mergeCell ref="A13:J13"/>
    <mergeCell ref="A14:D14"/>
    <mergeCell ref="A15:J15"/>
    <mergeCell ref="A16:D16"/>
    <mergeCell ref="A17:D17"/>
    <mergeCell ref="A11:D11"/>
    <mergeCell ref="E11:H11"/>
    <mergeCell ref="I11:J11"/>
    <mergeCell ref="A12:D12"/>
    <mergeCell ref="E12:H12"/>
    <mergeCell ref="I12:J12"/>
    <mergeCell ref="B9:C9"/>
    <mergeCell ref="G9:H9"/>
    <mergeCell ref="I9:J9"/>
    <mergeCell ref="B10:C10"/>
    <mergeCell ref="G10:H10"/>
    <mergeCell ref="I10:J10"/>
    <mergeCell ref="A5:J5"/>
    <mergeCell ref="F6:H6"/>
    <mergeCell ref="A8:C8"/>
    <mergeCell ref="D8:E8"/>
    <mergeCell ref="I8:J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79992065187536243"/>
  </sheetPr>
  <dimension ref="A1:K44"/>
  <sheetViews>
    <sheetView topLeftCell="A10" workbookViewId="0">
      <selection activeCell="K30" sqref="K30"/>
    </sheetView>
  </sheetViews>
  <sheetFormatPr defaultColWidth="8.796875" defaultRowHeight="15"/>
  <cols>
    <col min="1" max="1" width="10.69921875" customWidth="1"/>
    <col min="2" max="9" width="5.19921875" customWidth="1"/>
    <col min="10" max="10" width="10.69921875" customWidth="1"/>
  </cols>
  <sheetData>
    <row r="1" spans="1:11" ht="24.95" customHeight="1">
      <c r="A1" s="86"/>
      <c r="B1" s="86"/>
      <c r="C1" s="86"/>
      <c r="D1" s="144"/>
      <c r="E1" s="144"/>
      <c r="F1" s="144"/>
      <c r="G1" s="144"/>
      <c r="H1" s="144"/>
      <c r="I1" s="144"/>
      <c r="J1" s="144"/>
    </row>
    <row r="2" spans="1:11" ht="24.95" customHeight="1">
      <c r="A2" s="144"/>
      <c r="B2" s="144"/>
      <c r="C2" s="144"/>
      <c r="D2" s="144"/>
      <c r="E2" s="144"/>
      <c r="F2" s="144"/>
      <c r="G2" s="144"/>
      <c r="H2" s="144"/>
      <c r="I2" s="144"/>
      <c r="J2" s="144"/>
    </row>
    <row r="3" spans="1:11" ht="24.95" customHeight="1">
      <c r="A3" s="144"/>
      <c r="B3" s="144"/>
      <c r="C3" s="144"/>
      <c r="D3" s="144"/>
      <c r="E3" s="144"/>
      <c r="F3" s="144"/>
      <c r="G3" s="144"/>
      <c r="H3" s="144"/>
      <c r="I3" s="144"/>
      <c r="J3" s="144"/>
    </row>
    <row r="4" spans="1:11" ht="24.95" customHeight="1">
      <c r="A4" s="145"/>
      <c r="B4" s="145"/>
      <c r="C4" s="145"/>
      <c r="D4" s="145"/>
      <c r="E4" s="145"/>
      <c r="F4" s="145"/>
      <c r="G4" s="145"/>
      <c r="H4" s="145"/>
      <c r="I4" s="145"/>
      <c r="J4" s="145"/>
    </row>
    <row r="5" spans="1:11" ht="15.75">
      <c r="A5" s="89" t="s">
        <v>0</v>
      </c>
      <c r="B5" s="90"/>
      <c r="C5" s="90"/>
      <c r="D5" s="90"/>
      <c r="E5" s="90"/>
      <c r="F5" s="90"/>
      <c r="G5" s="90"/>
      <c r="H5" s="90"/>
      <c r="I5" s="90"/>
      <c r="J5" s="90"/>
    </row>
    <row r="6" spans="1:11">
      <c r="A6" s="95" t="s">
        <v>1</v>
      </c>
      <c r="B6" s="96"/>
      <c r="C6" s="96"/>
      <c r="D6" s="95" t="s">
        <v>2</v>
      </c>
      <c r="E6" s="96"/>
      <c r="F6" s="91" t="s">
        <v>3</v>
      </c>
      <c r="G6" s="92"/>
      <c r="H6" s="93"/>
      <c r="I6" s="95" t="s">
        <v>4</v>
      </c>
      <c r="J6" s="96"/>
    </row>
    <row r="7" spans="1:11" ht="25.5">
      <c r="A7" s="96"/>
      <c r="B7" s="96"/>
      <c r="C7" s="96"/>
      <c r="D7" s="96"/>
      <c r="E7" s="96"/>
      <c r="F7" s="10" t="s">
        <v>5</v>
      </c>
      <c r="G7" s="9" t="s">
        <v>6</v>
      </c>
      <c r="H7" s="9" t="s">
        <v>7</v>
      </c>
      <c r="I7" s="96"/>
      <c r="J7" s="96"/>
    </row>
    <row r="8" spans="1:11">
      <c r="A8" s="94" t="s">
        <v>8</v>
      </c>
      <c r="B8" s="94"/>
      <c r="C8" s="94"/>
      <c r="D8" s="94" t="s">
        <v>9</v>
      </c>
      <c r="E8" s="94"/>
      <c r="F8" s="11"/>
      <c r="G8" s="12"/>
      <c r="H8" s="12"/>
      <c r="I8" s="94" t="s">
        <v>10</v>
      </c>
      <c r="J8" s="94"/>
    </row>
    <row r="9" spans="1:11">
      <c r="A9" s="9" t="s">
        <v>11</v>
      </c>
      <c r="B9" s="95" t="s">
        <v>12</v>
      </c>
      <c r="C9" s="96"/>
      <c r="D9" s="9" t="s">
        <v>13</v>
      </c>
      <c r="E9" s="9" t="s">
        <v>14</v>
      </c>
      <c r="F9" s="48" t="s">
        <v>15</v>
      </c>
      <c r="G9" s="95" t="s">
        <v>16</v>
      </c>
      <c r="H9" s="96"/>
      <c r="I9" s="95" t="s">
        <v>17</v>
      </c>
      <c r="J9" s="96"/>
    </row>
    <row r="10" spans="1:11">
      <c r="A10" s="14">
        <v>46162</v>
      </c>
      <c r="B10" s="94"/>
      <c r="C10" s="94"/>
      <c r="D10" s="15">
        <v>130</v>
      </c>
      <c r="E10" s="16"/>
      <c r="F10" s="16"/>
      <c r="G10" s="94"/>
      <c r="H10" s="94"/>
      <c r="I10" s="94"/>
      <c r="J10" s="94"/>
    </row>
    <row r="11" spans="1:11">
      <c r="A11" s="97" t="s">
        <v>18</v>
      </c>
      <c r="B11" s="98"/>
      <c r="C11" s="98"/>
      <c r="D11" s="98"/>
      <c r="E11" s="95" t="s">
        <v>19</v>
      </c>
      <c r="F11" s="95"/>
      <c r="G11" s="96"/>
      <c r="H11" s="96"/>
      <c r="I11" s="95" t="s">
        <v>20</v>
      </c>
      <c r="J11" s="96"/>
    </row>
    <row r="12" spans="1:11">
      <c r="A12" s="99" t="s">
        <v>21</v>
      </c>
      <c r="B12" s="99"/>
      <c r="C12" s="99"/>
      <c r="D12" s="99"/>
      <c r="E12" s="100"/>
      <c r="F12" s="100"/>
      <c r="G12" s="94"/>
      <c r="H12" s="94"/>
      <c r="I12" s="99"/>
      <c r="J12" s="99"/>
    </row>
    <row r="13" spans="1:11" ht="15.75">
      <c r="A13" s="101" t="s">
        <v>22</v>
      </c>
      <c r="B13" s="102"/>
      <c r="C13" s="102"/>
      <c r="D13" s="102"/>
      <c r="E13" s="102"/>
      <c r="F13" s="102"/>
      <c r="G13" s="102"/>
      <c r="H13" s="102"/>
      <c r="I13" s="102"/>
      <c r="J13" s="103"/>
    </row>
    <row r="14" spans="1:11" ht="25.5">
      <c r="A14" s="95" t="s">
        <v>23</v>
      </c>
      <c r="B14" s="96"/>
      <c r="C14" s="96"/>
      <c r="D14" s="96"/>
      <c r="E14" s="9" t="s">
        <v>24</v>
      </c>
      <c r="F14" s="9" t="s">
        <v>25</v>
      </c>
      <c r="G14" s="9" t="s">
        <v>26</v>
      </c>
      <c r="H14" s="9" t="s">
        <v>27</v>
      </c>
      <c r="I14" s="9" t="s">
        <v>28</v>
      </c>
      <c r="J14" s="9"/>
    </row>
    <row r="15" spans="1:11">
      <c r="A15" s="104" t="s">
        <v>29</v>
      </c>
      <c r="B15" s="105"/>
      <c r="C15" s="105"/>
      <c r="D15" s="105"/>
      <c r="E15" s="105"/>
      <c r="F15" s="105"/>
      <c r="G15" s="105"/>
      <c r="H15" s="105"/>
      <c r="I15" s="105"/>
      <c r="J15" s="106"/>
    </row>
    <row r="16" spans="1:11">
      <c r="A16" s="138" t="s">
        <v>85</v>
      </c>
      <c r="B16" s="139"/>
      <c r="C16" s="139"/>
      <c r="D16" s="140"/>
      <c r="E16" s="5">
        <v>100</v>
      </c>
      <c r="F16" s="2">
        <f>E16*H16/$D$10</f>
        <v>53.846153846153797</v>
      </c>
      <c r="G16" s="6">
        <v>120</v>
      </c>
      <c r="H16" s="5">
        <v>70</v>
      </c>
      <c r="I16" s="6">
        <f t="shared" ref="I16:I18" si="0">G16*H16</f>
        <v>8400</v>
      </c>
      <c r="J16" s="50"/>
      <c r="K16" t="s">
        <v>61</v>
      </c>
    </row>
    <row r="17" spans="1:11">
      <c r="A17" s="110" t="s">
        <v>32</v>
      </c>
      <c r="B17" s="111"/>
      <c r="C17" s="111"/>
      <c r="D17" s="112"/>
      <c r="E17" s="52">
        <v>22</v>
      </c>
      <c r="F17" s="2">
        <f t="shared" ref="F17:F18" si="1">E17*H17/$D$10</f>
        <v>11.846153846153801</v>
      </c>
      <c r="G17" s="1">
        <v>35</v>
      </c>
      <c r="H17" s="5">
        <v>70</v>
      </c>
      <c r="I17" s="6">
        <f t="shared" si="0"/>
        <v>2450</v>
      </c>
      <c r="J17" s="50"/>
    </row>
    <row r="18" spans="1:11">
      <c r="A18" s="141" t="s">
        <v>70</v>
      </c>
      <c r="B18" s="142"/>
      <c r="C18" s="142"/>
      <c r="D18" s="142"/>
      <c r="E18" s="5">
        <v>30</v>
      </c>
      <c r="F18" s="2">
        <f t="shared" si="1"/>
        <v>16.153846153846199</v>
      </c>
      <c r="G18" s="6">
        <v>30</v>
      </c>
      <c r="H18" s="5">
        <v>70</v>
      </c>
      <c r="I18" s="6">
        <f t="shared" si="0"/>
        <v>2100</v>
      </c>
      <c r="J18" s="50"/>
    </row>
    <row r="19" spans="1:11" ht="15.75">
      <c r="A19" s="101" t="s">
        <v>34</v>
      </c>
      <c r="B19" s="102"/>
      <c r="C19" s="102"/>
      <c r="D19" s="102"/>
      <c r="E19" s="102"/>
      <c r="F19" s="102"/>
      <c r="G19" s="102"/>
      <c r="H19" s="102"/>
      <c r="I19" s="102"/>
      <c r="J19" s="103"/>
    </row>
    <row r="20" spans="1:11" ht="25.5">
      <c r="A20" s="95" t="s">
        <v>23</v>
      </c>
      <c r="B20" s="96"/>
      <c r="C20" s="96"/>
      <c r="D20" s="96"/>
      <c r="E20" s="9" t="s">
        <v>24</v>
      </c>
      <c r="F20" s="9" t="s">
        <v>25</v>
      </c>
      <c r="G20" s="9" t="s">
        <v>26</v>
      </c>
      <c r="H20" s="9" t="s">
        <v>27</v>
      </c>
      <c r="I20" s="9" t="s">
        <v>28</v>
      </c>
      <c r="J20" s="9"/>
    </row>
    <row r="21" spans="1:11">
      <c r="A21" s="155" t="s">
        <v>86</v>
      </c>
      <c r="B21" s="156" t="s">
        <v>36</v>
      </c>
      <c r="C21" s="156" t="s">
        <v>36</v>
      </c>
      <c r="D21" s="157" t="s">
        <v>36</v>
      </c>
      <c r="E21" s="63">
        <v>75</v>
      </c>
      <c r="F21" s="2">
        <f t="shared" ref="F21:F25" si="2">E21*H21/$D$10</f>
        <v>40.384615384615401</v>
      </c>
      <c r="G21" s="6">
        <v>180</v>
      </c>
      <c r="H21" s="2">
        <v>70</v>
      </c>
      <c r="I21" s="1">
        <f t="shared" ref="I21:I26" si="3">H21*G21</f>
        <v>12600</v>
      </c>
      <c r="J21" s="54"/>
    </row>
    <row r="22" spans="1:11">
      <c r="A22" s="155" t="s">
        <v>87</v>
      </c>
      <c r="B22" s="156"/>
      <c r="C22" s="156"/>
      <c r="D22" s="157"/>
      <c r="E22" s="63">
        <v>75</v>
      </c>
      <c r="F22" s="2">
        <f t="shared" si="2"/>
        <v>40.384615384615401</v>
      </c>
      <c r="G22" s="6">
        <v>130</v>
      </c>
      <c r="H22" s="2">
        <v>70</v>
      </c>
      <c r="I22" s="1">
        <f t="shared" si="3"/>
        <v>9100</v>
      </c>
      <c r="J22" s="54"/>
      <c r="K22" t="s">
        <v>31</v>
      </c>
    </row>
    <row r="23" spans="1:11" ht="15.75">
      <c r="A23" s="101" t="s">
        <v>38</v>
      </c>
      <c r="B23" s="102"/>
      <c r="C23" s="102"/>
      <c r="D23" s="102"/>
      <c r="E23" s="102"/>
      <c r="F23" s="102"/>
      <c r="G23" s="102"/>
      <c r="H23" s="102"/>
      <c r="I23" s="102"/>
      <c r="J23" s="103"/>
    </row>
    <row r="24" spans="1:11" ht="25.5">
      <c r="A24" s="95" t="s">
        <v>23</v>
      </c>
      <c r="B24" s="96"/>
      <c r="C24" s="96"/>
      <c r="D24" s="96"/>
      <c r="E24" s="9" t="s">
        <v>24</v>
      </c>
      <c r="F24" s="9" t="s">
        <v>25</v>
      </c>
      <c r="G24" s="9" t="s">
        <v>26</v>
      </c>
      <c r="H24" s="9" t="s">
        <v>27</v>
      </c>
      <c r="I24" s="9" t="s">
        <v>28</v>
      </c>
      <c r="J24" s="9"/>
    </row>
    <row r="25" spans="1:11">
      <c r="A25" s="114" t="s">
        <v>81</v>
      </c>
      <c r="B25" s="114" t="s">
        <v>40</v>
      </c>
      <c r="C25" s="114" t="s">
        <v>40</v>
      </c>
      <c r="D25" s="114" t="s">
        <v>40</v>
      </c>
      <c r="E25" s="55">
        <v>60</v>
      </c>
      <c r="F25" s="2">
        <f t="shared" si="2"/>
        <v>32.307692307692299</v>
      </c>
      <c r="G25" s="6">
        <v>90</v>
      </c>
      <c r="H25" s="2">
        <v>70</v>
      </c>
      <c r="I25" s="1">
        <f t="shared" si="3"/>
        <v>6300</v>
      </c>
      <c r="J25" s="54"/>
    </row>
    <row r="26" spans="1:11">
      <c r="A26" s="149" t="s">
        <v>88</v>
      </c>
      <c r="B26" s="150"/>
      <c r="C26" s="150"/>
      <c r="D26" s="151"/>
      <c r="E26" s="55">
        <v>50</v>
      </c>
      <c r="F26" s="71">
        <v>0</v>
      </c>
      <c r="G26" s="6">
        <v>60</v>
      </c>
      <c r="H26" s="2">
        <v>70</v>
      </c>
      <c r="I26" s="1">
        <f t="shared" si="3"/>
        <v>4200</v>
      </c>
      <c r="J26" s="54"/>
      <c r="K26" t="s">
        <v>45</v>
      </c>
    </row>
    <row r="27" spans="1:11" ht="15.75">
      <c r="A27" s="89" t="s">
        <v>42</v>
      </c>
      <c r="B27" s="90"/>
      <c r="C27" s="90"/>
      <c r="D27" s="90"/>
      <c r="E27" s="90"/>
      <c r="F27" s="90"/>
      <c r="G27" s="90"/>
      <c r="H27" s="90"/>
      <c r="I27" s="90"/>
      <c r="J27" s="90"/>
    </row>
    <row r="28" spans="1:11" ht="25.5">
      <c r="A28" s="95" t="s">
        <v>23</v>
      </c>
      <c r="B28" s="96"/>
      <c r="C28" s="96"/>
      <c r="D28" s="96"/>
      <c r="E28" s="9" t="s">
        <v>24</v>
      </c>
      <c r="F28" s="9" t="s">
        <v>25</v>
      </c>
      <c r="G28" s="9" t="s">
        <v>26</v>
      </c>
      <c r="H28" s="9" t="s">
        <v>27</v>
      </c>
      <c r="I28" s="9" t="s">
        <v>28</v>
      </c>
      <c r="J28" s="9"/>
    </row>
    <row r="29" spans="1:11">
      <c r="A29" s="115" t="s">
        <v>43</v>
      </c>
      <c r="B29" s="116"/>
      <c r="C29" s="116"/>
      <c r="D29" s="117"/>
      <c r="E29" s="52">
        <v>100</v>
      </c>
      <c r="F29" s="2">
        <f t="shared" ref="F29:F32" si="4">E29*H29/$D$10</f>
        <v>61.538461538461497</v>
      </c>
      <c r="G29" s="6">
        <v>35</v>
      </c>
      <c r="H29" s="49">
        <v>80</v>
      </c>
      <c r="I29" s="1">
        <f t="shared" ref="I29:I32" si="5">H29*G29</f>
        <v>2800</v>
      </c>
      <c r="J29" s="53"/>
    </row>
    <row r="30" spans="1:11">
      <c r="A30" s="118" t="s">
        <v>44</v>
      </c>
      <c r="B30" s="111"/>
      <c r="C30" s="111"/>
      <c r="D30" s="112"/>
      <c r="E30" s="52">
        <v>100</v>
      </c>
      <c r="F30" s="2">
        <f t="shared" si="4"/>
        <v>61.538461538461497</v>
      </c>
      <c r="G30" s="6">
        <v>75</v>
      </c>
      <c r="H30" s="52">
        <v>80</v>
      </c>
      <c r="I30" s="1">
        <f t="shared" si="5"/>
        <v>6000</v>
      </c>
      <c r="J30" s="50"/>
      <c r="K30" t="s">
        <v>45</v>
      </c>
    </row>
    <row r="31" spans="1:11">
      <c r="A31" s="17" t="s">
        <v>46</v>
      </c>
      <c r="B31" s="64"/>
      <c r="C31" s="64"/>
      <c r="D31" s="65"/>
      <c r="E31" s="1">
        <v>100</v>
      </c>
      <c r="F31" s="2">
        <f t="shared" si="4"/>
        <v>46.153846153846203</v>
      </c>
      <c r="G31" s="1">
        <v>180</v>
      </c>
      <c r="H31" s="1">
        <v>60</v>
      </c>
      <c r="I31" s="1">
        <f t="shared" si="5"/>
        <v>10800</v>
      </c>
      <c r="J31" s="51"/>
    </row>
    <row r="32" spans="1:11">
      <c r="A32" s="17" t="s">
        <v>47</v>
      </c>
      <c r="B32" s="66"/>
      <c r="C32" s="66"/>
      <c r="D32" s="67"/>
      <c r="E32" s="2">
        <v>100</v>
      </c>
      <c r="F32" s="2">
        <f t="shared" si="4"/>
        <v>30.769230769230798</v>
      </c>
      <c r="G32" s="2">
        <v>90</v>
      </c>
      <c r="H32" s="2">
        <v>40</v>
      </c>
      <c r="I32" s="2">
        <f t="shared" si="5"/>
        <v>3600</v>
      </c>
      <c r="J32" s="56"/>
    </row>
    <row r="33" spans="1:10">
      <c r="A33" s="119" t="s">
        <v>48</v>
      </c>
      <c r="B33" s="120"/>
      <c r="C33" s="120"/>
      <c r="D33" s="120"/>
      <c r="E33" s="120"/>
      <c r="F33" s="120"/>
      <c r="G33" s="120"/>
      <c r="H33" s="120"/>
      <c r="I33" s="120"/>
      <c r="J33" s="57">
        <f>SUM(I13:I32)</f>
        <v>68350</v>
      </c>
    </row>
    <row r="34" spans="1:10">
      <c r="A34" s="121" t="s">
        <v>49</v>
      </c>
      <c r="B34" s="122"/>
      <c r="C34" s="122"/>
      <c r="D34" s="122"/>
      <c r="E34" s="122"/>
      <c r="F34" s="122"/>
      <c r="G34" s="122"/>
      <c r="H34" s="122"/>
      <c r="I34" s="122"/>
      <c r="J34" s="58">
        <f>SUM(F13:F30)</f>
        <v>318</v>
      </c>
    </row>
    <row r="35" spans="1:10" ht="15.75">
      <c r="A35" s="89" t="s">
        <v>50</v>
      </c>
      <c r="B35" s="90"/>
      <c r="C35" s="90"/>
      <c r="D35" s="90"/>
      <c r="E35" s="90"/>
      <c r="F35" s="90"/>
      <c r="G35" s="90"/>
      <c r="H35" s="90"/>
      <c r="I35" s="90"/>
      <c r="J35" s="90"/>
    </row>
    <row r="36" spans="1:10" ht="25.5">
      <c r="A36" s="95" t="s">
        <v>23</v>
      </c>
      <c r="B36" s="96"/>
      <c r="C36" s="96"/>
      <c r="D36" s="96"/>
      <c r="E36" s="9" t="s">
        <v>24</v>
      </c>
      <c r="F36" s="9" t="s">
        <v>25</v>
      </c>
      <c r="G36" s="9" t="s">
        <v>26</v>
      </c>
      <c r="H36" s="9" t="s">
        <v>27</v>
      </c>
      <c r="I36" s="9" t="s">
        <v>28</v>
      </c>
      <c r="J36" s="9"/>
    </row>
    <row r="37" spans="1:10">
      <c r="A37" s="118" t="s">
        <v>51</v>
      </c>
      <c r="B37" s="111"/>
      <c r="C37" s="111"/>
      <c r="D37" s="112"/>
      <c r="E37" s="52">
        <v>200</v>
      </c>
      <c r="F37" s="6"/>
      <c r="G37" s="52">
        <v>35</v>
      </c>
      <c r="H37" s="52">
        <v>80</v>
      </c>
      <c r="I37" s="6">
        <f t="shared" ref="I37:I39" si="6">G37*H37</f>
        <v>2800</v>
      </c>
      <c r="J37" s="50"/>
    </row>
    <row r="38" spans="1:10">
      <c r="A38" s="123" t="s">
        <v>52</v>
      </c>
      <c r="B38" s="124"/>
      <c r="C38" s="124"/>
      <c r="D38" s="124"/>
      <c r="E38" s="59" t="s">
        <v>53</v>
      </c>
      <c r="F38" s="6"/>
      <c r="G38" s="59">
        <v>100</v>
      </c>
      <c r="H38" s="60">
        <v>100</v>
      </c>
      <c r="I38" s="6">
        <f t="shared" si="6"/>
        <v>10000</v>
      </c>
      <c r="J38" s="50"/>
    </row>
    <row r="39" spans="1:10">
      <c r="A39" s="123" t="s">
        <v>54</v>
      </c>
      <c r="B39" s="123"/>
      <c r="C39" s="123"/>
      <c r="D39" s="123"/>
      <c r="E39" s="59">
        <v>10</v>
      </c>
      <c r="F39" s="6"/>
      <c r="G39" s="59">
        <v>20</v>
      </c>
      <c r="H39" s="60">
        <v>100</v>
      </c>
      <c r="I39" s="6">
        <f t="shared" si="6"/>
        <v>2000</v>
      </c>
      <c r="J39" s="50"/>
    </row>
    <row r="40" spans="1:10">
      <c r="A40" s="119" t="s">
        <v>55</v>
      </c>
      <c r="B40" s="120"/>
      <c r="C40" s="120"/>
      <c r="D40" s="120"/>
      <c r="E40" s="120"/>
      <c r="F40" s="120"/>
      <c r="G40" s="120"/>
      <c r="H40" s="120"/>
      <c r="I40" s="120"/>
      <c r="J40" s="24">
        <f>SUM(I37:I39)</f>
        <v>14800</v>
      </c>
    </row>
    <row r="41" spans="1:10">
      <c r="A41" s="125" t="s">
        <v>56</v>
      </c>
      <c r="B41" s="126"/>
      <c r="C41" s="126"/>
      <c r="D41" s="126"/>
      <c r="E41" s="126"/>
      <c r="F41" s="126"/>
      <c r="G41" s="126"/>
      <c r="H41" s="126"/>
      <c r="I41" s="127"/>
      <c r="J41" s="24">
        <v>11600</v>
      </c>
    </row>
    <row r="42" spans="1:10" ht="15.75">
      <c r="A42" s="128" t="s">
        <v>57</v>
      </c>
      <c r="B42" s="129"/>
      <c r="C42" s="129"/>
      <c r="D42" s="129"/>
      <c r="E42" s="129"/>
      <c r="F42" s="129"/>
      <c r="G42" s="129"/>
      <c r="H42" s="129"/>
      <c r="I42" s="129"/>
      <c r="J42" s="61">
        <f>J33+J40+J41</f>
        <v>94750</v>
      </c>
    </row>
    <row r="43" spans="1:10">
      <c r="A43" s="121" t="s">
        <v>58</v>
      </c>
      <c r="B43" s="122"/>
      <c r="C43" s="122"/>
      <c r="D43" s="122"/>
      <c r="E43" s="122"/>
      <c r="F43" s="122"/>
      <c r="G43" s="122"/>
      <c r="H43" s="122"/>
      <c r="I43" s="122"/>
      <c r="J43" s="62">
        <f>J42/$D$10</f>
        <v>728.84615384615404</v>
      </c>
    </row>
    <row r="44" spans="1:10">
      <c r="A44" s="72"/>
      <c r="B44" s="72"/>
      <c r="C44" s="72"/>
      <c r="D44" s="72"/>
      <c r="E44" s="72"/>
      <c r="F44" s="72"/>
      <c r="G44" s="72"/>
      <c r="H44" s="72"/>
      <c r="I44" s="72"/>
      <c r="J44" s="72"/>
    </row>
  </sheetData>
  <mergeCells count="50">
    <mergeCell ref="A40:I40"/>
    <mergeCell ref="A41:I41"/>
    <mergeCell ref="A42:I42"/>
    <mergeCell ref="A43:I43"/>
    <mergeCell ref="A1:J4"/>
    <mergeCell ref="A6:C7"/>
    <mergeCell ref="D6:E7"/>
    <mergeCell ref="I6:J7"/>
    <mergeCell ref="A35:J35"/>
    <mergeCell ref="A36:D36"/>
    <mergeCell ref="A37:D37"/>
    <mergeCell ref="A38:D38"/>
    <mergeCell ref="A39:D39"/>
    <mergeCell ref="A28:D28"/>
    <mergeCell ref="A29:D29"/>
    <mergeCell ref="A30:D30"/>
    <mergeCell ref="A33:I33"/>
    <mergeCell ref="A34:I34"/>
    <mergeCell ref="A23:J23"/>
    <mergeCell ref="A24:D24"/>
    <mergeCell ref="A25:D25"/>
    <mergeCell ref="A26:D26"/>
    <mergeCell ref="A27:J27"/>
    <mergeCell ref="A18:D18"/>
    <mergeCell ref="A19:J19"/>
    <mergeCell ref="A20:D20"/>
    <mergeCell ref="A21:D21"/>
    <mergeCell ref="A22:D22"/>
    <mergeCell ref="A13:J13"/>
    <mergeCell ref="A14:D14"/>
    <mergeCell ref="A15:J15"/>
    <mergeCell ref="A16:D16"/>
    <mergeCell ref="A17:D17"/>
    <mergeCell ref="A11:D11"/>
    <mergeCell ref="E11:H11"/>
    <mergeCell ref="I11:J11"/>
    <mergeCell ref="A12:D12"/>
    <mergeCell ref="E12:H12"/>
    <mergeCell ref="I12:J12"/>
    <mergeCell ref="B9:C9"/>
    <mergeCell ref="G9:H9"/>
    <mergeCell ref="I9:J9"/>
    <mergeCell ref="B10:C10"/>
    <mergeCell ref="G10:H10"/>
    <mergeCell ref="I10:J10"/>
    <mergeCell ref="A5:J5"/>
    <mergeCell ref="F6:H6"/>
    <mergeCell ref="A8:C8"/>
    <mergeCell ref="D8:E8"/>
    <mergeCell ref="I8:J8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0.79992065187536243"/>
  </sheetPr>
  <dimension ref="A1:K45"/>
  <sheetViews>
    <sheetView topLeftCell="A10" workbookViewId="0">
      <selection activeCell="L31" sqref="L31"/>
    </sheetView>
  </sheetViews>
  <sheetFormatPr defaultColWidth="8.796875" defaultRowHeight="15"/>
  <cols>
    <col min="1" max="1" width="10.69921875" customWidth="1"/>
    <col min="2" max="9" width="5.19921875" customWidth="1"/>
    <col min="10" max="10" width="10.69921875" customWidth="1"/>
  </cols>
  <sheetData>
    <row r="1" spans="1:11" ht="24.95" customHeight="1">
      <c r="A1" s="86"/>
      <c r="B1" s="86"/>
      <c r="C1" s="86"/>
      <c r="D1" s="144"/>
      <c r="E1" s="144"/>
      <c r="F1" s="144"/>
      <c r="G1" s="144"/>
      <c r="H1" s="144"/>
      <c r="I1" s="144"/>
      <c r="J1" s="144"/>
    </row>
    <row r="2" spans="1:11" ht="24.95" customHeight="1">
      <c r="A2" s="144"/>
      <c r="B2" s="144"/>
      <c r="C2" s="144"/>
      <c r="D2" s="144"/>
      <c r="E2" s="144"/>
      <c r="F2" s="144"/>
      <c r="G2" s="144"/>
      <c r="H2" s="144"/>
      <c r="I2" s="144"/>
      <c r="J2" s="144"/>
    </row>
    <row r="3" spans="1:11" ht="24.95" customHeight="1">
      <c r="A3" s="144"/>
      <c r="B3" s="144"/>
      <c r="C3" s="144"/>
      <c r="D3" s="144"/>
      <c r="E3" s="144"/>
      <c r="F3" s="144"/>
      <c r="G3" s="144"/>
      <c r="H3" s="144"/>
      <c r="I3" s="144"/>
      <c r="J3" s="144"/>
    </row>
    <row r="4" spans="1:11" ht="24.95" customHeight="1">
      <c r="A4" s="145"/>
      <c r="B4" s="145"/>
      <c r="C4" s="145"/>
      <c r="D4" s="145"/>
      <c r="E4" s="145"/>
      <c r="F4" s="145"/>
      <c r="G4" s="145"/>
      <c r="H4" s="145"/>
      <c r="I4" s="145"/>
      <c r="J4" s="145"/>
    </row>
    <row r="5" spans="1:11" ht="15.75">
      <c r="A5" s="89" t="s">
        <v>0</v>
      </c>
      <c r="B5" s="90"/>
      <c r="C5" s="90"/>
      <c r="D5" s="90"/>
      <c r="E5" s="90"/>
      <c r="F5" s="90"/>
      <c r="G5" s="90"/>
      <c r="H5" s="90"/>
      <c r="I5" s="90"/>
      <c r="J5" s="90"/>
    </row>
    <row r="6" spans="1:11">
      <c r="A6" s="95" t="s">
        <v>1</v>
      </c>
      <c r="B6" s="96"/>
      <c r="C6" s="96"/>
      <c r="D6" s="95" t="s">
        <v>2</v>
      </c>
      <c r="E6" s="96"/>
      <c r="F6" s="91" t="s">
        <v>3</v>
      </c>
      <c r="G6" s="92"/>
      <c r="H6" s="93"/>
      <c r="I6" s="95" t="s">
        <v>4</v>
      </c>
      <c r="J6" s="96"/>
    </row>
    <row r="7" spans="1:11" ht="25.5">
      <c r="A7" s="96"/>
      <c r="B7" s="96"/>
      <c r="C7" s="96"/>
      <c r="D7" s="96"/>
      <c r="E7" s="96"/>
      <c r="F7" s="10" t="s">
        <v>5</v>
      </c>
      <c r="G7" s="9" t="s">
        <v>6</v>
      </c>
      <c r="H7" s="9" t="s">
        <v>7</v>
      </c>
      <c r="I7" s="96"/>
      <c r="J7" s="96"/>
    </row>
    <row r="8" spans="1:11">
      <c r="A8" s="94" t="s">
        <v>8</v>
      </c>
      <c r="B8" s="94"/>
      <c r="C8" s="94"/>
      <c r="D8" s="94" t="s">
        <v>9</v>
      </c>
      <c r="E8" s="94"/>
      <c r="F8" s="11"/>
      <c r="G8" s="12"/>
      <c r="H8" s="12"/>
      <c r="I8" s="94" t="s">
        <v>10</v>
      </c>
      <c r="J8" s="94"/>
    </row>
    <row r="9" spans="1:11">
      <c r="A9" s="9" t="s">
        <v>11</v>
      </c>
      <c r="B9" s="95" t="s">
        <v>12</v>
      </c>
      <c r="C9" s="96"/>
      <c r="D9" s="9" t="s">
        <v>13</v>
      </c>
      <c r="E9" s="9" t="s">
        <v>14</v>
      </c>
      <c r="F9" s="48" t="s">
        <v>15</v>
      </c>
      <c r="G9" s="95" t="s">
        <v>16</v>
      </c>
      <c r="H9" s="96"/>
      <c r="I9" s="95" t="s">
        <v>17</v>
      </c>
      <c r="J9" s="96"/>
    </row>
    <row r="10" spans="1:11">
      <c r="A10" s="14">
        <v>46162</v>
      </c>
      <c r="B10" s="94"/>
      <c r="C10" s="94"/>
      <c r="D10" s="15">
        <v>130</v>
      </c>
      <c r="E10" s="16"/>
      <c r="F10" s="16"/>
      <c r="G10" s="94"/>
      <c r="H10" s="94"/>
      <c r="I10" s="94"/>
      <c r="J10" s="94"/>
    </row>
    <row r="11" spans="1:11">
      <c r="A11" s="97" t="s">
        <v>18</v>
      </c>
      <c r="B11" s="98"/>
      <c r="C11" s="98"/>
      <c r="D11" s="98"/>
      <c r="E11" s="95" t="s">
        <v>19</v>
      </c>
      <c r="F11" s="95"/>
      <c r="G11" s="96"/>
      <c r="H11" s="96"/>
      <c r="I11" s="95" t="s">
        <v>20</v>
      </c>
      <c r="J11" s="96"/>
    </row>
    <row r="12" spans="1:11">
      <c r="A12" s="99" t="s">
        <v>21</v>
      </c>
      <c r="B12" s="99"/>
      <c r="C12" s="99"/>
      <c r="D12" s="99"/>
      <c r="E12" s="100"/>
      <c r="F12" s="100"/>
      <c r="G12" s="94"/>
      <c r="H12" s="94"/>
      <c r="I12" s="99"/>
      <c r="J12" s="99"/>
    </row>
    <row r="13" spans="1:11" ht="15.75">
      <c r="A13" s="89" t="s">
        <v>64</v>
      </c>
      <c r="B13" s="90"/>
      <c r="C13" s="90"/>
      <c r="D13" s="90"/>
      <c r="E13" s="90"/>
      <c r="F13" s="90"/>
      <c r="G13" s="90"/>
      <c r="H13" s="90"/>
      <c r="I13" s="90"/>
      <c r="J13" s="90"/>
    </row>
    <row r="14" spans="1:11" ht="24.95" customHeight="1">
      <c r="A14" s="118" t="s">
        <v>89</v>
      </c>
      <c r="B14" s="111"/>
      <c r="C14" s="111"/>
      <c r="D14" s="112"/>
      <c r="E14" s="70">
        <v>52</v>
      </c>
      <c r="F14" s="71">
        <f>H14*E14/D10</f>
        <v>28</v>
      </c>
      <c r="G14" s="6">
        <v>215</v>
      </c>
      <c r="H14" s="49">
        <v>70</v>
      </c>
      <c r="I14" s="1">
        <f>H14*G14</f>
        <v>15050</v>
      </c>
      <c r="J14" s="51"/>
      <c r="K14" t="s">
        <v>90</v>
      </c>
    </row>
    <row r="15" spans="1:11" ht="24.95" customHeight="1">
      <c r="A15" s="146" t="s">
        <v>91</v>
      </c>
      <c r="B15" s="147"/>
      <c r="C15" s="147"/>
      <c r="D15" s="148"/>
      <c r="E15" s="70">
        <v>20</v>
      </c>
      <c r="F15" s="71">
        <f>H15*E15/D10</f>
        <v>10.7692307692308</v>
      </c>
      <c r="G15" s="71">
        <v>75</v>
      </c>
      <c r="H15" s="49">
        <v>70</v>
      </c>
      <c r="I15" s="1">
        <f t="shared" ref="I15" si="0">H15*G15</f>
        <v>5250</v>
      </c>
      <c r="J15" s="51"/>
      <c r="K15" t="s">
        <v>92</v>
      </c>
    </row>
    <row r="16" spans="1:11" ht="15.75">
      <c r="A16" s="89" t="s">
        <v>64</v>
      </c>
      <c r="B16" s="90"/>
      <c r="C16" s="90"/>
      <c r="D16" s="90"/>
      <c r="E16" s="90"/>
      <c r="F16" s="90"/>
      <c r="G16" s="90"/>
      <c r="H16" s="90"/>
      <c r="I16" s="90"/>
      <c r="J16" s="90"/>
    </row>
    <row r="17" spans="1:11" ht="25.5">
      <c r="A17" s="95" t="s">
        <v>23</v>
      </c>
      <c r="B17" s="96"/>
      <c r="C17" s="96"/>
      <c r="D17" s="96"/>
      <c r="E17" s="9" t="s">
        <v>24</v>
      </c>
      <c r="F17" s="9" t="s">
        <v>25</v>
      </c>
      <c r="G17" s="9" t="s">
        <v>26</v>
      </c>
      <c r="H17" s="9" t="s">
        <v>27</v>
      </c>
      <c r="I17" s="9" t="s">
        <v>28</v>
      </c>
      <c r="J17" s="9"/>
    </row>
    <row r="18" spans="1:11" ht="24.95" customHeight="1">
      <c r="A18" s="118" t="s">
        <v>93</v>
      </c>
      <c r="B18" s="111"/>
      <c r="C18" s="111"/>
      <c r="D18" s="112"/>
      <c r="E18" s="52">
        <v>19</v>
      </c>
      <c r="F18" s="71">
        <f>H18*E18/$D$10</f>
        <v>8.7692307692307701</v>
      </c>
      <c r="G18" s="6">
        <v>55</v>
      </c>
      <c r="H18" s="1">
        <v>60</v>
      </c>
      <c r="I18" s="1">
        <f t="shared" ref="I18:I20" si="1">H18*G18</f>
        <v>3300</v>
      </c>
      <c r="J18" s="53"/>
      <c r="K18" t="s">
        <v>92</v>
      </c>
    </row>
    <row r="19" spans="1:11" ht="24.95" customHeight="1">
      <c r="A19" s="118" t="s">
        <v>94</v>
      </c>
      <c r="B19" s="111"/>
      <c r="C19" s="111"/>
      <c r="D19" s="112"/>
      <c r="E19" s="52">
        <v>35</v>
      </c>
      <c r="F19" s="71">
        <f>H19*E19/$D$10</f>
        <v>16.153846153846199</v>
      </c>
      <c r="G19" s="6">
        <v>90</v>
      </c>
      <c r="H19" s="52">
        <v>60</v>
      </c>
      <c r="I19" s="1">
        <f t="shared" si="1"/>
        <v>5400</v>
      </c>
      <c r="J19" s="50"/>
      <c r="K19" t="s">
        <v>92</v>
      </c>
    </row>
    <row r="20" spans="1:11" ht="15" customHeight="1">
      <c r="A20" s="115" t="s">
        <v>95</v>
      </c>
      <c r="B20" s="116"/>
      <c r="C20" s="116"/>
      <c r="D20" s="117"/>
      <c r="E20" s="52">
        <v>15</v>
      </c>
      <c r="F20" s="71">
        <v>0</v>
      </c>
      <c r="G20" s="6">
        <v>80</v>
      </c>
      <c r="H20" s="2">
        <v>60</v>
      </c>
      <c r="I20" s="1">
        <f t="shared" si="1"/>
        <v>4800</v>
      </c>
      <c r="J20" s="54"/>
      <c r="K20" t="s">
        <v>92</v>
      </c>
    </row>
    <row r="21" spans="1:11">
      <c r="A21" s="104"/>
      <c r="B21" s="105"/>
      <c r="C21" s="105"/>
      <c r="D21" s="105"/>
      <c r="E21" s="105"/>
      <c r="F21" s="105"/>
      <c r="G21" s="105"/>
      <c r="H21" s="105"/>
      <c r="I21" s="105"/>
      <c r="J21" s="106"/>
    </row>
    <row r="22" spans="1:11">
      <c r="A22" s="138" t="s">
        <v>96</v>
      </c>
      <c r="B22" s="139"/>
      <c r="C22" s="139"/>
      <c r="D22" s="140"/>
      <c r="E22" s="5">
        <v>80</v>
      </c>
      <c r="F22" s="2">
        <f>E22*H22/$D$10</f>
        <v>43.076923076923102</v>
      </c>
      <c r="G22" s="6">
        <v>85</v>
      </c>
      <c r="H22" s="2">
        <v>70</v>
      </c>
      <c r="I22" s="1">
        <f t="shared" ref="I22:I29" si="2">H22*G22</f>
        <v>5950</v>
      </c>
      <c r="J22" s="54"/>
      <c r="K22" t="s">
        <v>97</v>
      </c>
    </row>
    <row r="23" spans="1:11">
      <c r="A23" s="138" t="s">
        <v>98</v>
      </c>
      <c r="B23" s="139"/>
      <c r="C23" s="139"/>
      <c r="D23" s="140"/>
      <c r="E23" s="5">
        <v>80</v>
      </c>
      <c r="F23" s="2">
        <f>E23*H23/$D$10</f>
        <v>43.076923076923102</v>
      </c>
      <c r="G23" s="6">
        <v>150</v>
      </c>
      <c r="H23" s="2">
        <v>70</v>
      </c>
      <c r="I23" s="1">
        <f t="shared" si="2"/>
        <v>10500</v>
      </c>
      <c r="J23" s="54"/>
      <c r="K23" t="s">
        <v>97</v>
      </c>
    </row>
    <row r="24" spans="1:11" ht="15.75">
      <c r="A24" s="158" t="s">
        <v>68</v>
      </c>
      <c r="B24" s="102"/>
      <c r="C24" s="102"/>
      <c r="D24" s="102"/>
      <c r="E24" s="102"/>
      <c r="F24" s="102"/>
      <c r="G24" s="102"/>
      <c r="H24" s="102"/>
      <c r="I24" s="102"/>
      <c r="J24" s="103"/>
    </row>
    <row r="25" spans="1:11" ht="25.5">
      <c r="A25" s="95" t="s">
        <v>23</v>
      </c>
      <c r="B25" s="96"/>
      <c r="C25" s="96"/>
      <c r="D25" s="96"/>
      <c r="E25" s="9" t="s">
        <v>24</v>
      </c>
      <c r="F25" s="9" t="s">
        <v>25</v>
      </c>
      <c r="G25" s="9" t="s">
        <v>26</v>
      </c>
      <c r="H25" s="9" t="s">
        <v>27</v>
      </c>
      <c r="I25" s="9" t="s">
        <v>28</v>
      </c>
      <c r="J25" s="9"/>
    </row>
    <row r="26" spans="1:11">
      <c r="A26" s="104" t="s">
        <v>29</v>
      </c>
      <c r="B26" s="105"/>
      <c r="C26" s="105"/>
      <c r="D26" s="105"/>
      <c r="E26" s="105"/>
      <c r="F26" s="105"/>
      <c r="G26" s="105"/>
      <c r="H26" s="105"/>
      <c r="I26" s="105"/>
      <c r="J26" s="106"/>
    </row>
    <row r="27" spans="1:11">
      <c r="A27" s="141" t="s">
        <v>99</v>
      </c>
      <c r="B27" s="141"/>
      <c r="C27" s="141"/>
      <c r="D27" s="141"/>
      <c r="E27" s="5">
        <v>30</v>
      </c>
      <c r="F27" s="2">
        <f>E27*H27/$D$10</f>
        <v>16.153846153846199</v>
      </c>
      <c r="G27" s="6">
        <v>30</v>
      </c>
      <c r="H27" s="5">
        <v>70</v>
      </c>
      <c r="I27" s="2">
        <f t="shared" si="2"/>
        <v>2100</v>
      </c>
      <c r="J27" s="56"/>
      <c r="K27" t="s">
        <v>97</v>
      </c>
    </row>
    <row r="28" spans="1:11">
      <c r="A28" s="141" t="s">
        <v>70</v>
      </c>
      <c r="B28" s="142"/>
      <c r="C28" s="142"/>
      <c r="D28" s="142"/>
      <c r="E28" s="5">
        <v>30</v>
      </c>
      <c r="F28" s="2">
        <f>E28*H28/$D$10</f>
        <v>16.153846153846199</v>
      </c>
      <c r="G28" s="6">
        <v>30</v>
      </c>
      <c r="H28" s="5">
        <v>70</v>
      </c>
      <c r="I28" s="2">
        <f t="shared" si="2"/>
        <v>2100</v>
      </c>
      <c r="J28" s="56"/>
      <c r="K28" t="s">
        <v>97</v>
      </c>
    </row>
    <row r="29" spans="1:11">
      <c r="A29" s="138" t="s">
        <v>100</v>
      </c>
      <c r="B29" s="139"/>
      <c r="C29" s="139"/>
      <c r="D29" s="140"/>
      <c r="E29" s="5">
        <v>30</v>
      </c>
      <c r="F29" s="2">
        <f>E29*H29/$D$10</f>
        <v>16.153846153846199</v>
      </c>
      <c r="G29" s="6">
        <v>30</v>
      </c>
      <c r="H29" s="5">
        <v>70</v>
      </c>
      <c r="I29" s="2">
        <f t="shared" si="2"/>
        <v>2100</v>
      </c>
      <c r="J29" s="56"/>
      <c r="K29" t="s">
        <v>97</v>
      </c>
    </row>
    <row r="30" spans="1:11">
      <c r="A30" s="95" t="s">
        <v>74</v>
      </c>
      <c r="B30" s="95"/>
      <c r="C30" s="95"/>
      <c r="D30" s="95"/>
      <c r="E30" s="95"/>
      <c r="F30" s="95"/>
      <c r="G30" s="95"/>
      <c r="H30" s="95"/>
      <c r="I30" s="95"/>
      <c r="J30" s="95"/>
    </row>
    <row r="31" spans="1:11">
      <c r="A31" s="143" t="s">
        <v>75</v>
      </c>
      <c r="B31" s="143"/>
      <c r="C31" s="143"/>
      <c r="D31" s="143"/>
      <c r="E31" s="2">
        <v>100</v>
      </c>
      <c r="F31" s="2">
        <f>H31*E31/D10</f>
        <v>30.769230769230798</v>
      </c>
      <c r="G31" s="2">
        <v>90</v>
      </c>
      <c r="H31" s="2">
        <v>40</v>
      </c>
      <c r="I31" s="2">
        <f>H31*G31</f>
        <v>3600</v>
      </c>
      <c r="J31" s="56"/>
    </row>
    <row r="32" spans="1:11" ht="45">
      <c r="A32" s="118" t="s">
        <v>101</v>
      </c>
      <c r="B32" s="111"/>
      <c r="C32" s="111"/>
      <c r="D32" s="112"/>
      <c r="E32" s="2">
        <v>100</v>
      </c>
      <c r="F32" s="2">
        <f>H31*E32/D10</f>
        <v>30.769230769230798</v>
      </c>
      <c r="G32" s="2">
        <v>200</v>
      </c>
      <c r="H32" s="2">
        <v>100</v>
      </c>
      <c r="I32" s="2">
        <f>H32*G32</f>
        <v>20000</v>
      </c>
      <c r="J32" s="56"/>
      <c r="K32" t="s">
        <v>102</v>
      </c>
    </row>
    <row r="33" spans="1:10" s="47" customFormat="1">
      <c r="A33" s="107" t="s">
        <v>103</v>
      </c>
      <c r="B33" s="108"/>
      <c r="C33" s="108"/>
      <c r="D33" s="109"/>
      <c r="E33" s="2">
        <v>100</v>
      </c>
      <c r="F33" s="2">
        <f>H33*E33/D10</f>
        <v>46.153846153846203</v>
      </c>
      <c r="G33" s="2">
        <v>55</v>
      </c>
      <c r="H33" s="2">
        <v>60</v>
      </c>
      <c r="I33" s="2">
        <f>H33*G33</f>
        <v>3300</v>
      </c>
      <c r="J33" s="56"/>
    </row>
    <row r="34" spans="1:10">
      <c r="A34" s="107" t="s">
        <v>46</v>
      </c>
      <c r="B34" s="108"/>
      <c r="C34" s="108"/>
      <c r="D34" s="109"/>
      <c r="E34" s="2">
        <v>100</v>
      </c>
      <c r="F34" s="2">
        <f>H34*E34/D10</f>
        <v>30.769230769230798</v>
      </c>
      <c r="G34" s="2">
        <v>180</v>
      </c>
      <c r="H34" s="2">
        <v>40</v>
      </c>
      <c r="I34" s="2">
        <f>H34*G34</f>
        <v>7200</v>
      </c>
      <c r="J34" s="56"/>
    </row>
    <row r="35" spans="1:10">
      <c r="A35" s="159" t="s">
        <v>48</v>
      </c>
      <c r="B35" s="160"/>
      <c r="C35" s="160"/>
      <c r="D35" s="160"/>
      <c r="E35" s="160"/>
      <c r="F35" s="160"/>
      <c r="G35" s="160"/>
      <c r="H35" s="160"/>
      <c r="I35" s="160"/>
      <c r="J35" s="57">
        <f>SUM(I13:I34)</f>
        <v>90650</v>
      </c>
    </row>
    <row r="36" spans="1:10">
      <c r="A36" s="121" t="s">
        <v>49</v>
      </c>
      <c r="B36" s="122"/>
      <c r="C36" s="122"/>
      <c r="D36" s="122"/>
      <c r="E36" s="122"/>
      <c r="F36" s="122"/>
      <c r="G36" s="122"/>
      <c r="H36" s="122"/>
      <c r="I36" s="122"/>
      <c r="J36" s="58">
        <f>SUM(F13:F34)</f>
        <v>336.769230769231</v>
      </c>
    </row>
    <row r="37" spans="1:10" ht="15.75">
      <c r="A37" s="89" t="s">
        <v>50</v>
      </c>
      <c r="B37" s="90"/>
      <c r="C37" s="90"/>
      <c r="D37" s="90"/>
      <c r="E37" s="90"/>
      <c r="F37" s="90"/>
      <c r="G37" s="90"/>
      <c r="H37" s="90"/>
      <c r="I37" s="90"/>
      <c r="J37" s="90"/>
    </row>
    <row r="38" spans="1:10" ht="25.5">
      <c r="A38" s="95" t="s">
        <v>23</v>
      </c>
      <c r="B38" s="96"/>
      <c r="C38" s="96"/>
      <c r="D38" s="96"/>
      <c r="E38" s="9" t="s">
        <v>24</v>
      </c>
      <c r="F38" s="9" t="s">
        <v>25</v>
      </c>
      <c r="G38" s="9" t="s">
        <v>26</v>
      </c>
      <c r="H38" s="9" t="s">
        <v>27</v>
      </c>
      <c r="I38" s="9" t="s">
        <v>28</v>
      </c>
      <c r="J38" s="9"/>
    </row>
    <row r="39" spans="1:10">
      <c r="A39" s="118" t="s">
        <v>51</v>
      </c>
      <c r="B39" s="111"/>
      <c r="C39" s="111"/>
      <c r="D39" s="112"/>
      <c r="E39" s="52">
        <v>200</v>
      </c>
      <c r="F39" s="6"/>
      <c r="G39" s="52">
        <v>35</v>
      </c>
      <c r="H39" s="52">
        <v>80</v>
      </c>
      <c r="I39" s="6">
        <f t="shared" ref="I39:I41" si="3">G39*H39</f>
        <v>2800</v>
      </c>
      <c r="J39" s="50"/>
    </row>
    <row r="40" spans="1:10">
      <c r="A40" s="123" t="s">
        <v>52</v>
      </c>
      <c r="B40" s="124"/>
      <c r="C40" s="124"/>
      <c r="D40" s="124"/>
      <c r="E40" s="59" t="s">
        <v>53</v>
      </c>
      <c r="F40" s="6"/>
      <c r="G40" s="59">
        <v>100</v>
      </c>
      <c r="H40" s="60">
        <v>100</v>
      </c>
      <c r="I40" s="6">
        <f t="shared" si="3"/>
        <v>10000</v>
      </c>
      <c r="J40" s="50"/>
    </row>
    <row r="41" spans="1:10">
      <c r="A41" s="123" t="s">
        <v>54</v>
      </c>
      <c r="B41" s="123"/>
      <c r="C41" s="123"/>
      <c r="D41" s="123"/>
      <c r="E41" s="59">
        <v>10</v>
      </c>
      <c r="F41" s="6"/>
      <c r="G41" s="59">
        <v>20</v>
      </c>
      <c r="H41" s="60">
        <v>100</v>
      </c>
      <c r="I41" s="6">
        <f t="shared" si="3"/>
        <v>2000</v>
      </c>
      <c r="J41" s="50"/>
    </row>
    <row r="42" spans="1:10">
      <c r="A42" s="119" t="s">
        <v>55</v>
      </c>
      <c r="B42" s="120"/>
      <c r="C42" s="120"/>
      <c r="D42" s="120"/>
      <c r="E42" s="120"/>
      <c r="F42" s="120"/>
      <c r="G42" s="120"/>
      <c r="H42" s="120"/>
      <c r="I42" s="120"/>
      <c r="J42" s="24">
        <f>SUM(I39:I41)</f>
        <v>14800</v>
      </c>
    </row>
    <row r="43" spans="1:10">
      <c r="A43" s="125" t="s">
        <v>56</v>
      </c>
      <c r="B43" s="126"/>
      <c r="C43" s="126"/>
      <c r="D43" s="126"/>
      <c r="E43" s="126"/>
      <c r="F43" s="126"/>
      <c r="G43" s="126"/>
      <c r="H43" s="126"/>
      <c r="I43" s="127"/>
      <c r="J43" s="24">
        <v>11600</v>
      </c>
    </row>
    <row r="44" spans="1:10" ht="15.75">
      <c r="A44" s="128" t="s">
        <v>57</v>
      </c>
      <c r="B44" s="129"/>
      <c r="C44" s="129"/>
      <c r="D44" s="129"/>
      <c r="E44" s="129"/>
      <c r="F44" s="129"/>
      <c r="G44" s="129"/>
      <c r="H44" s="129"/>
      <c r="I44" s="129"/>
      <c r="J44" s="61">
        <f>J35+J42+J43</f>
        <v>117050</v>
      </c>
    </row>
    <row r="45" spans="1:10">
      <c r="A45" s="121" t="s">
        <v>58</v>
      </c>
      <c r="B45" s="122"/>
      <c r="C45" s="122"/>
      <c r="D45" s="122"/>
      <c r="E45" s="122"/>
      <c r="F45" s="122"/>
      <c r="G45" s="122"/>
      <c r="H45" s="122"/>
      <c r="I45" s="122"/>
      <c r="J45" s="62">
        <f>J44/$D$10</f>
        <v>900.38461538461502</v>
      </c>
    </row>
  </sheetData>
  <mergeCells count="54">
    <mergeCell ref="A43:I43"/>
    <mergeCell ref="A44:I44"/>
    <mergeCell ref="A45:I45"/>
    <mergeCell ref="A1:J4"/>
    <mergeCell ref="A6:C7"/>
    <mergeCell ref="D6:E7"/>
    <mergeCell ref="I6:J7"/>
    <mergeCell ref="A38:D38"/>
    <mergeCell ref="A39:D39"/>
    <mergeCell ref="A40:D40"/>
    <mergeCell ref="A41:D41"/>
    <mergeCell ref="A42:I42"/>
    <mergeCell ref="A33:D33"/>
    <mergeCell ref="A34:D34"/>
    <mergeCell ref="A35:I35"/>
    <mergeCell ref="A36:I36"/>
    <mergeCell ref="A37:J37"/>
    <mergeCell ref="A28:D28"/>
    <mergeCell ref="A29:D29"/>
    <mergeCell ref="A30:J30"/>
    <mergeCell ref="A31:D31"/>
    <mergeCell ref="A32:D32"/>
    <mergeCell ref="A23:D23"/>
    <mergeCell ref="A24:J24"/>
    <mergeCell ref="A25:D25"/>
    <mergeCell ref="A26:J26"/>
    <mergeCell ref="A27:D27"/>
    <mergeCell ref="A18:D18"/>
    <mergeCell ref="A19:D19"/>
    <mergeCell ref="A20:D20"/>
    <mergeCell ref="A21:J21"/>
    <mergeCell ref="A22:D22"/>
    <mergeCell ref="A13:J13"/>
    <mergeCell ref="A14:D14"/>
    <mergeCell ref="A15:D15"/>
    <mergeCell ref="A16:J16"/>
    <mergeCell ref="A17:D17"/>
    <mergeCell ref="A11:D11"/>
    <mergeCell ref="E11:H11"/>
    <mergeCell ref="I11:J11"/>
    <mergeCell ref="A12:D12"/>
    <mergeCell ref="E12:H12"/>
    <mergeCell ref="I12:J12"/>
    <mergeCell ref="B9:C9"/>
    <mergeCell ref="G9:H9"/>
    <mergeCell ref="I9:J9"/>
    <mergeCell ref="B10:C10"/>
    <mergeCell ref="G10:H10"/>
    <mergeCell ref="I10:J10"/>
    <mergeCell ref="A5:J5"/>
    <mergeCell ref="F6:H6"/>
    <mergeCell ref="A8:C8"/>
    <mergeCell ref="D8:E8"/>
    <mergeCell ref="I8:J8"/>
  </mergeCells>
  <pageMargins left="0.75" right="0.75" top="1" bottom="1" header="0.5" footer="0.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59999389629810485"/>
  </sheetPr>
  <dimension ref="A1:K47"/>
  <sheetViews>
    <sheetView topLeftCell="A17" workbookViewId="0">
      <selection activeCell="K34" sqref="K34"/>
    </sheetView>
  </sheetViews>
  <sheetFormatPr defaultColWidth="8.796875" defaultRowHeight="15"/>
  <cols>
    <col min="1" max="1" width="10.69921875" customWidth="1"/>
    <col min="2" max="9" width="5.19921875" customWidth="1"/>
    <col min="10" max="10" width="10.69921875" customWidth="1"/>
  </cols>
  <sheetData>
    <row r="1" spans="1:11" ht="24.95" customHeight="1">
      <c r="A1" s="161"/>
      <c r="B1" s="161"/>
      <c r="C1" s="161"/>
      <c r="D1" s="161"/>
      <c r="E1" s="161"/>
      <c r="F1" s="161"/>
      <c r="G1" s="161"/>
      <c r="H1" s="161"/>
      <c r="I1" s="161"/>
      <c r="J1" s="161"/>
    </row>
    <row r="2" spans="1:11" ht="24.95" customHeight="1">
      <c r="A2" s="161"/>
      <c r="B2" s="161"/>
      <c r="C2" s="161"/>
      <c r="D2" s="161"/>
      <c r="E2" s="161"/>
      <c r="F2" s="161"/>
      <c r="G2" s="161"/>
      <c r="H2" s="161"/>
      <c r="I2" s="161"/>
      <c r="J2" s="161"/>
    </row>
    <row r="3" spans="1:11" ht="24.95" customHeight="1">
      <c r="A3" s="161"/>
      <c r="B3" s="161"/>
      <c r="C3" s="161"/>
      <c r="D3" s="161"/>
      <c r="E3" s="161"/>
      <c r="F3" s="161"/>
      <c r="G3" s="161"/>
      <c r="H3" s="161"/>
      <c r="I3" s="161"/>
      <c r="J3" s="161"/>
    </row>
    <row r="4" spans="1:11" ht="24.95" customHeight="1">
      <c r="A4" s="162"/>
      <c r="B4" s="162"/>
      <c r="C4" s="162"/>
      <c r="D4" s="162"/>
      <c r="E4" s="162"/>
      <c r="F4" s="162"/>
      <c r="G4" s="162"/>
      <c r="H4" s="162"/>
      <c r="I4" s="162"/>
      <c r="J4" s="162"/>
    </row>
    <row r="5" spans="1:11" ht="15.75">
      <c r="A5" s="89" t="s">
        <v>0</v>
      </c>
      <c r="B5" s="90"/>
      <c r="C5" s="90"/>
      <c r="D5" s="90"/>
      <c r="E5" s="90"/>
      <c r="F5" s="90"/>
      <c r="G5" s="90"/>
      <c r="H5" s="90"/>
      <c r="I5" s="90"/>
      <c r="J5" s="90"/>
    </row>
    <row r="6" spans="1:11">
      <c r="A6" s="95" t="s">
        <v>1</v>
      </c>
      <c r="B6" s="96"/>
      <c r="C6" s="96"/>
      <c r="D6" s="95" t="s">
        <v>2</v>
      </c>
      <c r="E6" s="96"/>
      <c r="F6" s="91" t="s">
        <v>3</v>
      </c>
      <c r="G6" s="92"/>
      <c r="H6" s="93"/>
      <c r="I6" s="95" t="s">
        <v>4</v>
      </c>
      <c r="J6" s="96"/>
    </row>
    <row r="7" spans="1:11" ht="25.5">
      <c r="A7" s="96"/>
      <c r="B7" s="96"/>
      <c r="C7" s="96"/>
      <c r="D7" s="96"/>
      <c r="E7" s="96"/>
      <c r="F7" s="10" t="s">
        <v>5</v>
      </c>
      <c r="G7" s="9" t="s">
        <v>6</v>
      </c>
      <c r="H7" s="9" t="s">
        <v>7</v>
      </c>
      <c r="I7" s="96"/>
      <c r="J7" s="96"/>
    </row>
    <row r="8" spans="1:11">
      <c r="A8" s="94" t="s">
        <v>8</v>
      </c>
      <c r="B8" s="94"/>
      <c r="C8" s="94"/>
      <c r="D8" s="94" t="s">
        <v>9</v>
      </c>
      <c r="E8" s="94"/>
      <c r="F8" s="11"/>
      <c r="G8" s="12"/>
      <c r="H8" s="12"/>
      <c r="I8" s="94" t="s">
        <v>10</v>
      </c>
      <c r="J8" s="94"/>
    </row>
    <row r="9" spans="1:11">
      <c r="A9" s="9" t="s">
        <v>11</v>
      </c>
      <c r="B9" s="95" t="s">
        <v>12</v>
      </c>
      <c r="C9" s="96"/>
      <c r="D9" s="9" t="s">
        <v>13</v>
      </c>
      <c r="E9" s="9" t="s">
        <v>14</v>
      </c>
      <c r="F9" s="48" t="s">
        <v>15</v>
      </c>
      <c r="G9" s="95" t="s">
        <v>16</v>
      </c>
      <c r="H9" s="96"/>
      <c r="I9" s="95" t="s">
        <v>17</v>
      </c>
      <c r="J9" s="96"/>
    </row>
    <row r="10" spans="1:11">
      <c r="A10" s="14">
        <v>46163</v>
      </c>
      <c r="B10" s="94"/>
      <c r="C10" s="94"/>
      <c r="D10" s="15">
        <v>130</v>
      </c>
      <c r="E10" s="16"/>
      <c r="F10" s="16"/>
      <c r="G10" s="94"/>
      <c r="H10" s="94"/>
      <c r="I10" s="94"/>
      <c r="J10" s="94"/>
    </row>
    <row r="11" spans="1:11">
      <c r="A11" s="97" t="s">
        <v>18</v>
      </c>
      <c r="B11" s="98"/>
      <c r="C11" s="98"/>
      <c r="D11" s="98"/>
      <c r="E11" s="95" t="s">
        <v>19</v>
      </c>
      <c r="F11" s="95"/>
      <c r="G11" s="96"/>
      <c r="H11" s="96"/>
      <c r="I11" s="95" t="s">
        <v>20</v>
      </c>
      <c r="J11" s="96"/>
    </row>
    <row r="12" spans="1:11">
      <c r="A12" s="99" t="s">
        <v>21</v>
      </c>
      <c r="B12" s="99"/>
      <c r="C12" s="99"/>
      <c r="D12" s="99"/>
      <c r="E12" s="100"/>
      <c r="F12" s="100"/>
      <c r="G12" s="94"/>
      <c r="H12" s="94"/>
      <c r="I12" s="99"/>
      <c r="J12" s="99"/>
    </row>
    <row r="13" spans="1:11" ht="15.75">
      <c r="A13" s="101" t="s">
        <v>22</v>
      </c>
      <c r="B13" s="102"/>
      <c r="C13" s="102"/>
      <c r="D13" s="102"/>
      <c r="E13" s="102"/>
      <c r="F13" s="102"/>
      <c r="G13" s="102"/>
      <c r="H13" s="102"/>
      <c r="I13" s="102"/>
      <c r="J13" s="103"/>
    </row>
    <row r="14" spans="1:11" ht="25.5">
      <c r="A14" s="95" t="s">
        <v>23</v>
      </c>
      <c r="B14" s="96"/>
      <c r="C14" s="96"/>
      <c r="D14" s="96"/>
      <c r="E14" s="9" t="s">
        <v>24</v>
      </c>
      <c r="F14" s="9" t="s">
        <v>25</v>
      </c>
      <c r="G14" s="9" t="s">
        <v>26</v>
      </c>
      <c r="H14" s="9" t="s">
        <v>27</v>
      </c>
      <c r="I14" s="9" t="s">
        <v>28</v>
      </c>
      <c r="J14" s="9"/>
    </row>
    <row r="15" spans="1:11">
      <c r="A15" s="104" t="s">
        <v>29</v>
      </c>
      <c r="B15" s="105"/>
      <c r="C15" s="105"/>
      <c r="D15" s="105"/>
      <c r="E15" s="105"/>
      <c r="F15" s="105"/>
      <c r="G15" s="105"/>
      <c r="H15" s="105"/>
      <c r="I15" s="105"/>
      <c r="J15" s="106"/>
    </row>
    <row r="16" spans="1:11" ht="15" customHeight="1">
      <c r="A16" s="141" t="s">
        <v>104</v>
      </c>
      <c r="B16" s="141"/>
      <c r="C16" s="141"/>
      <c r="D16" s="141"/>
      <c r="E16" s="5">
        <v>40</v>
      </c>
      <c r="F16" s="2">
        <f>E16*H16/$D$10</f>
        <v>18.461538461538499</v>
      </c>
      <c r="G16" s="6">
        <v>110</v>
      </c>
      <c r="H16" s="5">
        <v>60</v>
      </c>
      <c r="I16" s="6">
        <f t="shared" ref="I16:I18" si="0">G16*H16</f>
        <v>6600</v>
      </c>
      <c r="J16" s="50"/>
      <c r="K16" t="s">
        <v>31</v>
      </c>
    </row>
    <row r="17" spans="1:11" ht="15" customHeight="1">
      <c r="A17" s="141" t="s">
        <v>105</v>
      </c>
      <c r="B17" s="141"/>
      <c r="C17" s="141"/>
      <c r="D17" s="141"/>
      <c r="E17" s="5">
        <v>40</v>
      </c>
      <c r="F17" s="2">
        <f t="shared" ref="F17:F18" si="1">E17*H17/$D$10</f>
        <v>18.461538461538499</v>
      </c>
      <c r="G17" s="6">
        <v>110</v>
      </c>
      <c r="H17" s="5">
        <v>60</v>
      </c>
      <c r="I17" s="6">
        <f t="shared" si="0"/>
        <v>6600</v>
      </c>
      <c r="J17" s="50"/>
    </row>
    <row r="18" spans="1:11" ht="15" customHeight="1">
      <c r="A18" s="141" t="s">
        <v>106</v>
      </c>
      <c r="B18" s="141"/>
      <c r="C18" s="141"/>
      <c r="D18" s="141"/>
      <c r="E18" s="5">
        <v>40</v>
      </c>
      <c r="F18" s="2">
        <f t="shared" si="1"/>
        <v>18.461538461538499</v>
      </c>
      <c r="G18" s="6">
        <v>110</v>
      </c>
      <c r="H18" s="5">
        <v>60</v>
      </c>
      <c r="I18" s="6">
        <f t="shared" si="0"/>
        <v>6600</v>
      </c>
      <c r="J18" s="50"/>
    </row>
    <row r="19" spans="1:11" ht="15.75">
      <c r="A19" s="101" t="s">
        <v>34</v>
      </c>
      <c r="B19" s="102"/>
      <c r="C19" s="102"/>
      <c r="D19" s="102"/>
      <c r="E19" s="102"/>
      <c r="F19" s="102"/>
      <c r="G19" s="102"/>
      <c r="H19" s="102"/>
      <c r="I19" s="102"/>
      <c r="J19" s="103"/>
    </row>
    <row r="20" spans="1:11" ht="25.5">
      <c r="A20" s="95" t="s">
        <v>23</v>
      </c>
      <c r="B20" s="96"/>
      <c r="C20" s="96"/>
      <c r="D20" s="96"/>
      <c r="E20" s="9" t="s">
        <v>24</v>
      </c>
      <c r="F20" s="9" t="s">
        <v>25</v>
      </c>
      <c r="G20" s="9" t="s">
        <v>26</v>
      </c>
      <c r="H20" s="9" t="s">
        <v>27</v>
      </c>
      <c r="I20" s="9" t="s">
        <v>28</v>
      </c>
      <c r="J20" s="9"/>
    </row>
    <row r="21" spans="1:11" ht="15" customHeight="1">
      <c r="A21" s="155" t="s">
        <v>35</v>
      </c>
      <c r="B21" s="156" t="s">
        <v>36</v>
      </c>
      <c r="C21" s="156" t="s">
        <v>36</v>
      </c>
      <c r="D21" s="157" t="s">
        <v>36</v>
      </c>
      <c r="E21" s="63">
        <v>75</v>
      </c>
      <c r="F21" s="2">
        <f>E21*H21/$D$10</f>
        <v>46.153846153846203</v>
      </c>
      <c r="G21" s="6">
        <v>130</v>
      </c>
      <c r="H21" s="2">
        <v>80</v>
      </c>
      <c r="I21" s="1">
        <f t="shared" ref="I21:I30" si="2">H21*G21</f>
        <v>10400</v>
      </c>
      <c r="J21" s="54"/>
      <c r="K21" t="s">
        <v>45</v>
      </c>
    </row>
    <row r="22" spans="1:11" ht="15" customHeight="1">
      <c r="A22" s="113" t="s">
        <v>37</v>
      </c>
      <c r="B22" s="113" t="s">
        <v>36</v>
      </c>
      <c r="C22" s="113" t="s">
        <v>36</v>
      </c>
      <c r="D22" s="113" t="s">
        <v>36</v>
      </c>
      <c r="E22" s="63">
        <v>75</v>
      </c>
      <c r="F22" s="2">
        <f>E22*H22/$D$10</f>
        <v>43.269230769230802</v>
      </c>
      <c r="G22" s="6">
        <v>170</v>
      </c>
      <c r="H22" s="2">
        <v>75</v>
      </c>
      <c r="I22" s="1">
        <f t="shared" si="2"/>
        <v>12750</v>
      </c>
      <c r="J22" s="54"/>
    </row>
    <row r="23" spans="1:11" ht="15" customHeight="1">
      <c r="A23" s="101" t="s">
        <v>107</v>
      </c>
      <c r="B23" s="102"/>
      <c r="C23" s="102"/>
      <c r="D23" s="102"/>
      <c r="E23" s="102"/>
      <c r="F23" s="102"/>
      <c r="G23" s="102"/>
      <c r="H23" s="102"/>
      <c r="I23" s="102"/>
      <c r="J23" s="103"/>
    </row>
    <row r="24" spans="1:11" ht="24.95" customHeight="1">
      <c r="A24" s="95" t="s">
        <v>23</v>
      </c>
      <c r="B24" s="96"/>
      <c r="C24" s="96"/>
      <c r="D24" s="96"/>
      <c r="E24" s="9" t="s">
        <v>24</v>
      </c>
      <c r="F24" s="9" t="s">
        <v>25</v>
      </c>
      <c r="G24" s="9" t="s">
        <v>26</v>
      </c>
      <c r="H24" s="9" t="s">
        <v>27</v>
      </c>
      <c r="I24" s="9" t="s">
        <v>28</v>
      </c>
      <c r="J24" s="9"/>
    </row>
    <row r="25" spans="1:11" ht="15" customHeight="1">
      <c r="A25" s="155" t="s">
        <v>108</v>
      </c>
      <c r="B25" s="156"/>
      <c r="C25" s="156"/>
      <c r="D25" s="157"/>
      <c r="E25" s="63">
        <v>28</v>
      </c>
      <c r="F25" s="2">
        <f>E25*H25/$D$10</f>
        <v>12.9230769230769</v>
      </c>
      <c r="G25" s="6">
        <v>90</v>
      </c>
      <c r="H25" s="2">
        <v>60</v>
      </c>
      <c r="I25" s="1">
        <f>H25*G25</f>
        <v>5400</v>
      </c>
      <c r="J25" s="54"/>
      <c r="K25" t="s">
        <v>45</v>
      </c>
    </row>
    <row r="26" spans="1:11">
      <c r="A26" s="155" t="s">
        <v>109</v>
      </c>
      <c r="B26" s="156"/>
      <c r="C26" s="156"/>
      <c r="D26" s="157"/>
      <c r="E26" s="63">
        <v>28</v>
      </c>
      <c r="F26" s="2">
        <f>E26*H26/$D$10</f>
        <v>12.9230769230769</v>
      </c>
      <c r="G26" s="6">
        <v>70</v>
      </c>
      <c r="H26" s="2">
        <v>60</v>
      </c>
      <c r="I26" s="1">
        <f>H26*G26</f>
        <v>4200</v>
      </c>
      <c r="J26" s="54"/>
    </row>
    <row r="27" spans="1:11" ht="15.75">
      <c r="A27" s="101" t="s">
        <v>38</v>
      </c>
      <c r="B27" s="102"/>
      <c r="C27" s="102"/>
      <c r="D27" s="102"/>
      <c r="E27" s="102"/>
      <c r="F27" s="102"/>
      <c r="G27" s="102"/>
      <c r="H27" s="102"/>
      <c r="I27" s="102"/>
      <c r="J27" s="103"/>
    </row>
    <row r="28" spans="1:11" ht="25.5">
      <c r="A28" s="95" t="s">
        <v>23</v>
      </c>
      <c r="B28" s="96"/>
      <c r="C28" s="96"/>
      <c r="D28" s="96"/>
      <c r="E28" s="9" t="s">
        <v>24</v>
      </c>
      <c r="F28" s="9" t="s">
        <v>25</v>
      </c>
      <c r="G28" s="9" t="s">
        <v>26</v>
      </c>
      <c r="H28" s="9" t="s">
        <v>27</v>
      </c>
      <c r="I28" s="9" t="s">
        <v>28</v>
      </c>
      <c r="J28" s="9"/>
    </row>
    <row r="29" spans="1:11" ht="15" customHeight="1">
      <c r="A29" s="114" t="s">
        <v>81</v>
      </c>
      <c r="B29" s="114" t="s">
        <v>40</v>
      </c>
      <c r="C29" s="114" t="s">
        <v>40</v>
      </c>
      <c r="D29" s="114" t="s">
        <v>40</v>
      </c>
      <c r="E29" s="55">
        <v>60</v>
      </c>
      <c r="F29" s="2">
        <f>E29*H29/$D$10</f>
        <v>27.692307692307701</v>
      </c>
      <c r="G29" s="6">
        <v>90</v>
      </c>
      <c r="H29" s="2">
        <v>60</v>
      </c>
      <c r="I29" s="1">
        <f t="shared" si="2"/>
        <v>5400</v>
      </c>
      <c r="J29" s="54"/>
      <c r="K29" t="s">
        <v>45</v>
      </c>
    </row>
    <row r="30" spans="1:11" ht="15" customHeight="1">
      <c r="A30" s="118" t="s">
        <v>110</v>
      </c>
      <c r="B30" s="111"/>
      <c r="C30" s="111"/>
      <c r="D30" s="112"/>
      <c r="E30" s="52">
        <v>30</v>
      </c>
      <c r="F30" s="2">
        <f>E30*H30/$D$10</f>
        <v>13.846153846153801</v>
      </c>
      <c r="G30" s="6">
        <v>110</v>
      </c>
      <c r="H30" s="2">
        <v>60</v>
      </c>
      <c r="I30" s="1">
        <f t="shared" si="2"/>
        <v>6600</v>
      </c>
      <c r="J30" s="54"/>
    </row>
    <row r="31" spans="1:11" ht="15.75">
      <c r="A31" s="89" t="s">
        <v>42</v>
      </c>
      <c r="B31" s="90"/>
      <c r="C31" s="90"/>
      <c r="D31" s="90"/>
      <c r="E31" s="90"/>
      <c r="F31" s="90"/>
      <c r="G31" s="90"/>
      <c r="H31" s="90"/>
      <c r="I31" s="90"/>
      <c r="J31" s="90"/>
    </row>
    <row r="32" spans="1:11" ht="25.5">
      <c r="A32" s="95" t="s">
        <v>23</v>
      </c>
      <c r="B32" s="96"/>
      <c r="C32" s="96"/>
      <c r="D32" s="96"/>
      <c r="E32" s="9" t="s">
        <v>24</v>
      </c>
      <c r="F32" s="9" t="s">
        <v>25</v>
      </c>
      <c r="G32" s="9" t="s">
        <v>26</v>
      </c>
      <c r="H32" s="9" t="s">
        <v>27</v>
      </c>
      <c r="I32" s="9" t="s">
        <v>28</v>
      </c>
      <c r="J32" s="9"/>
    </row>
    <row r="33" spans="1:11">
      <c r="A33" s="115" t="s">
        <v>43</v>
      </c>
      <c r="B33" s="116"/>
      <c r="C33" s="116"/>
      <c r="D33" s="117"/>
      <c r="E33" s="52">
        <v>100</v>
      </c>
      <c r="F33" s="2">
        <f>E33*H33/$D$10</f>
        <v>61.538461538461497</v>
      </c>
      <c r="G33" s="6">
        <v>35</v>
      </c>
      <c r="H33" s="1">
        <v>80</v>
      </c>
      <c r="I33" s="1">
        <f t="shared" ref="I33:I36" si="3">H33*G33</f>
        <v>2800</v>
      </c>
      <c r="J33" s="53"/>
    </row>
    <row r="34" spans="1:11">
      <c r="A34" s="118" t="s">
        <v>44</v>
      </c>
      <c r="B34" s="111"/>
      <c r="C34" s="111"/>
      <c r="D34" s="112"/>
      <c r="E34" s="52">
        <v>100</v>
      </c>
      <c r="F34" s="2">
        <f t="shared" ref="F34:F36" si="4">E34*H34/$D$10</f>
        <v>61.538461538461497</v>
      </c>
      <c r="G34" s="6">
        <v>75</v>
      </c>
      <c r="H34" s="52">
        <v>80</v>
      </c>
      <c r="I34" s="1">
        <f t="shared" si="3"/>
        <v>6000</v>
      </c>
      <c r="J34" s="50"/>
      <c r="K34" t="s">
        <v>45</v>
      </c>
    </row>
    <row r="35" spans="1:11">
      <c r="A35" s="17" t="s">
        <v>46</v>
      </c>
      <c r="B35" s="64"/>
      <c r="C35" s="64"/>
      <c r="D35" s="65"/>
      <c r="E35" s="1">
        <v>100</v>
      </c>
      <c r="F35" s="2">
        <f t="shared" si="4"/>
        <v>30.769230769230798</v>
      </c>
      <c r="G35" s="1">
        <v>180</v>
      </c>
      <c r="H35" s="1">
        <v>40</v>
      </c>
      <c r="I35" s="1">
        <f t="shared" si="3"/>
        <v>7200</v>
      </c>
      <c r="J35" s="51"/>
    </row>
    <row r="36" spans="1:11">
      <c r="A36" s="17" t="s">
        <v>47</v>
      </c>
      <c r="B36" s="66"/>
      <c r="C36" s="66"/>
      <c r="D36" s="67"/>
      <c r="E36" s="2">
        <v>100</v>
      </c>
      <c r="F36" s="2">
        <f t="shared" si="4"/>
        <v>30.769230769230798</v>
      </c>
      <c r="G36" s="2">
        <v>90</v>
      </c>
      <c r="H36" s="2">
        <v>40</v>
      </c>
      <c r="I36" s="2">
        <f t="shared" si="3"/>
        <v>3600</v>
      </c>
      <c r="J36" s="56"/>
    </row>
    <row r="37" spans="1:11">
      <c r="A37" s="119" t="s">
        <v>48</v>
      </c>
      <c r="B37" s="120"/>
      <c r="C37" s="120"/>
      <c r="D37" s="120"/>
      <c r="E37" s="120"/>
      <c r="F37" s="120"/>
      <c r="G37" s="120"/>
      <c r="H37" s="120"/>
      <c r="I37" s="120"/>
      <c r="J37" s="57">
        <f>SUM(I13:I36)</f>
        <v>84150</v>
      </c>
    </row>
    <row r="38" spans="1:11">
      <c r="A38" s="121" t="s">
        <v>49</v>
      </c>
      <c r="B38" s="122"/>
      <c r="C38" s="122"/>
      <c r="D38" s="122"/>
      <c r="E38" s="122"/>
      <c r="F38" s="122"/>
      <c r="G38" s="122"/>
      <c r="H38" s="122"/>
      <c r="I38" s="122"/>
      <c r="J38" s="58">
        <f>SUM(F13:F34)</f>
        <v>335.269230769231</v>
      </c>
    </row>
    <row r="39" spans="1:11" ht="15.75">
      <c r="A39" s="89" t="s">
        <v>50</v>
      </c>
      <c r="B39" s="90"/>
      <c r="C39" s="90"/>
      <c r="D39" s="90"/>
      <c r="E39" s="90"/>
      <c r="F39" s="90"/>
      <c r="G39" s="90"/>
      <c r="H39" s="90"/>
      <c r="I39" s="90"/>
      <c r="J39" s="90"/>
    </row>
    <row r="40" spans="1:11" ht="25.5">
      <c r="A40" s="95" t="s">
        <v>23</v>
      </c>
      <c r="B40" s="96"/>
      <c r="C40" s="96"/>
      <c r="D40" s="96"/>
      <c r="E40" s="9" t="s">
        <v>24</v>
      </c>
      <c r="F40" s="9" t="s">
        <v>25</v>
      </c>
      <c r="G40" s="9" t="s">
        <v>26</v>
      </c>
      <c r="H40" s="9" t="s">
        <v>27</v>
      </c>
      <c r="I40" s="9" t="s">
        <v>28</v>
      </c>
      <c r="J40" s="9"/>
    </row>
    <row r="41" spans="1:11">
      <c r="A41" s="118" t="s">
        <v>51</v>
      </c>
      <c r="B41" s="111"/>
      <c r="C41" s="111"/>
      <c r="D41" s="112"/>
      <c r="E41" s="52">
        <v>200</v>
      </c>
      <c r="F41" s="6"/>
      <c r="G41" s="52">
        <v>35</v>
      </c>
      <c r="H41" s="52">
        <v>80</v>
      </c>
      <c r="I41" s="6">
        <f t="shared" ref="I41:I43" si="5">G41*H41</f>
        <v>2800</v>
      </c>
      <c r="J41" s="50"/>
    </row>
    <row r="42" spans="1:11">
      <c r="A42" s="123" t="s">
        <v>52</v>
      </c>
      <c r="B42" s="124"/>
      <c r="C42" s="124"/>
      <c r="D42" s="124"/>
      <c r="E42" s="59" t="s">
        <v>53</v>
      </c>
      <c r="F42" s="6"/>
      <c r="G42" s="59">
        <v>100</v>
      </c>
      <c r="H42" s="60">
        <v>100</v>
      </c>
      <c r="I42" s="6">
        <f t="shared" si="5"/>
        <v>10000</v>
      </c>
      <c r="J42" s="50"/>
    </row>
    <row r="43" spans="1:11">
      <c r="A43" s="123" t="s">
        <v>54</v>
      </c>
      <c r="B43" s="123"/>
      <c r="C43" s="123"/>
      <c r="D43" s="123"/>
      <c r="E43" s="59">
        <v>10</v>
      </c>
      <c r="F43" s="6"/>
      <c r="G43" s="59">
        <v>20</v>
      </c>
      <c r="H43" s="60">
        <v>100</v>
      </c>
      <c r="I43" s="6">
        <f t="shared" si="5"/>
        <v>2000</v>
      </c>
      <c r="J43" s="50"/>
    </row>
    <row r="44" spans="1:11">
      <c r="A44" s="119" t="s">
        <v>55</v>
      </c>
      <c r="B44" s="120"/>
      <c r="C44" s="120"/>
      <c r="D44" s="120"/>
      <c r="E44" s="120"/>
      <c r="F44" s="120"/>
      <c r="G44" s="120"/>
      <c r="H44" s="120"/>
      <c r="I44" s="120"/>
      <c r="J44" s="24">
        <f>SUM(I41:I43)</f>
        <v>14800</v>
      </c>
    </row>
    <row r="45" spans="1:11">
      <c r="A45" s="125" t="s">
        <v>56</v>
      </c>
      <c r="B45" s="126"/>
      <c r="C45" s="126"/>
      <c r="D45" s="126"/>
      <c r="E45" s="126"/>
      <c r="F45" s="126"/>
      <c r="G45" s="126"/>
      <c r="H45" s="126"/>
      <c r="I45" s="127"/>
      <c r="J45" s="24">
        <v>11600</v>
      </c>
    </row>
    <row r="46" spans="1:11" ht="15.75">
      <c r="A46" s="128" t="s">
        <v>57</v>
      </c>
      <c r="B46" s="129"/>
      <c r="C46" s="129"/>
      <c r="D46" s="129"/>
      <c r="E46" s="129"/>
      <c r="F46" s="129"/>
      <c r="G46" s="129"/>
      <c r="H46" s="129"/>
      <c r="I46" s="129"/>
      <c r="J46" s="61">
        <f>J37+J44+J45</f>
        <v>110550</v>
      </c>
    </row>
    <row r="47" spans="1:11">
      <c r="A47" s="121" t="s">
        <v>58</v>
      </c>
      <c r="B47" s="122"/>
      <c r="C47" s="122"/>
      <c r="D47" s="122"/>
      <c r="E47" s="122"/>
      <c r="F47" s="122"/>
      <c r="G47" s="122"/>
      <c r="H47" s="122"/>
      <c r="I47" s="122"/>
      <c r="J47" s="62">
        <f>J46/$D$10</f>
        <v>850.38461538461502</v>
      </c>
    </row>
  </sheetData>
  <mergeCells count="54">
    <mergeCell ref="A45:I45"/>
    <mergeCell ref="A46:I46"/>
    <mergeCell ref="A47:I47"/>
    <mergeCell ref="A1:J4"/>
    <mergeCell ref="A6:C7"/>
    <mergeCell ref="D6:E7"/>
    <mergeCell ref="I6:J7"/>
    <mergeCell ref="A40:D40"/>
    <mergeCell ref="A41:D41"/>
    <mergeCell ref="A42:D42"/>
    <mergeCell ref="A43:D43"/>
    <mergeCell ref="A44:I44"/>
    <mergeCell ref="A33:D33"/>
    <mergeCell ref="A34:D34"/>
    <mergeCell ref="A37:I37"/>
    <mergeCell ref="A38:I38"/>
    <mergeCell ref="A39:J39"/>
    <mergeCell ref="A28:D28"/>
    <mergeCell ref="A29:D29"/>
    <mergeCell ref="A30:D30"/>
    <mergeCell ref="A31:J31"/>
    <mergeCell ref="A32:D32"/>
    <mergeCell ref="A23:J23"/>
    <mergeCell ref="A24:D24"/>
    <mergeCell ref="A25:D25"/>
    <mergeCell ref="A26:D26"/>
    <mergeCell ref="A27:J27"/>
    <mergeCell ref="A18:D18"/>
    <mergeCell ref="A19:J19"/>
    <mergeCell ref="A20:D20"/>
    <mergeCell ref="A21:D21"/>
    <mergeCell ref="A22:D22"/>
    <mergeCell ref="A13:J13"/>
    <mergeCell ref="A14:D14"/>
    <mergeCell ref="A15:J15"/>
    <mergeCell ref="A16:D16"/>
    <mergeCell ref="A17:D17"/>
    <mergeCell ref="A11:D11"/>
    <mergeCell ref="E11:H11"/>
    <mergeCell ref="I11:J11"/>
    <mergeCell ref="A12:D12"/>
    <mergeCell ref="E12:H12"/>
    <mergeCell ref="I12:J12"/>
    <mergeCell ref="B9:C9"/>
    <mergeCell ref="G9:H9"/>
    <mergeCell ref="I9:J9"/>
    <mergeCell ref="B10:C10"/>
    <mergeCell ref="G10:H10"/>
    <mergeCell ref="I10:J10"/>
    <mergeCell ref="A5:J5"/>
    <mergeCell ref="F6:H6"/>
    <mergeCell ref="A8:C8"/>
    <mergeCell ref="D8:E8"/>
    <mergeCell ref="I8:J8"/>
  </mergeCells>
  <pageMargins left="0.75" right="0.75" top="1" bottom="1" header="0.5" footer="0.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0.79992065187536243"/>
  </sheetPr>
  <dimension ref="A1:L46"/>
  <sheetViews>
    <sheetView topLeftCell="A4" workbookViewId="0">
      <selection activeCell="K16" sqref="K16:L16"/>
    </sheetView>
  </sheetViews>
  <sheetFormatPr defaultColWidth="8.796875" defaultRowHeight="15"/>
  <cols>
    <col min="1" max="1" width="10.69921875" customWidth="1"/>
    <col min="2" max="9" width="5.19921875" customWidth="1"/>
    <col min="10" max="10" width="10.69921875" customWidth="1"/>
  </cols>
  <sheetData>
    <row r="1" spans="1:12" ht="24.95" customHeight="1">
      <c r="A1" s="86"/>
      <c r="B1" s="86"/>
      <c r="C1" s="86"/>
      <c r="D1" s="144"/>
      <c r="E1" s="144"/>
      <c r="F1" s="144"/>
      <c r="G1" s="144"/>
      <c r="H1" s="144"/>
      <c r="I1" s="144"/>
      <c r="J1" s="144"/>
    </row>
    <row r="2" spans="1:12" ht="24.95" customHeight="1">
      <c r="A2" s="144"/>
      <c r="B2" s="144"/>
      <c r="C2" s="144"/>
      <c r="D2" s="144"/>
      <c r="E2" s="144"/>
      <c r="F2" s="144"/>
      <c r="G2" s="144"/>
      <c r="H2" s="144"/>
      <c r="I2" s="144"/>
      <c r="J2" s="144"/>
    </row>
    <row r="3" spans="1:12" ht="24.95" customHeight="1">
      <c r="A3" s="144"/>
      <c r="B3" s="144"/>
      <c r="C3" s="144"/>
      <c r="D3" s="144"/>
      <c r="E3" s="144"/>
      <c r="F3" s="144"/>
      <c r="G3" s="144"/>
      <c r="H3" s="144"/>
      <c r="I3" s="144"/>
      <c r="J3" s="144"/>
    </row>
    <row r="4" spans="1:12" ht="24.95" customHeight="1">
      <c r="A4" s="145"/>
      <c r="B4" s="145"/>
      <c r="C4" s="145"/>
      <c r="D4" s="145"/>
      <c r="E4" s="145"/>
      <c r="F4" s="145"/>
      <c r="G4" s="145"/>
      <c r="H4" s="145"/>
      <c r="I4" s="145"/>
      <c r="J4" s="145"/>
    </row>
    <row r="5" spans="1:12" ht="15.75">
      <c r="A5" s="89" t="s">
        <v>0</v>
      </c>
      <c r="B5" s="90"/>
      <c r="C5" s="90"/>
      <c r="D5" s="90"/>
      <c r="E5" s="90"/>
      <c r="F5" s="90"/>
      <c r="G5" s="90"/>
      <c r="H5" s="90"/>
      <c r="I5" s="90"/>
      <c r="J5" s="90"/>
    </row>
    <row r="6" spans="1:12">
      <c r="A6" s="95" t="s">
        <v>1</v>
      </c>
      <c r="B6" s="96"/>
      <c r="C6" s="96"/>
      <c r="D6" s="95" t="s">
        <v>2</v>
      </c>
      <c r="E6" s="96"/>
      <c r="F6" s="91" t="s">
        <v>3</v>
      </c>
      <c r="G6" s="92"/>
      <c r="H6" s="93"/>
      <c r="I6" s="95" t="s">
        <v>4</v>
      </c>
      <c r="J6" s="96"/>
    </row>
    <row r="7" spans="1:12" ht="25.5">
      <c r="A7" s="96"/>
      <c r="B7" s="96"/>
      <c r="C7" s="96"/>
      <c r="D7" s="96"/>
      <c r="E7" s="96"/>
      <c r="F7" s="10" t="s">
        <v>5</v>
      </c>
      <c r="G7" s="9" t="s">
        <v>6</v>
      </c>
      <c r="H7" s="9" t="s">
        <v>7</v>
      </c>
      <c r="I7" s="96"/>
      <c r="J7" s="96"/>
    </row>
    <row r="8" spans="1:12">
      <c r="A8" s="94" t="s">
        <v>8</v>
      </c>
      <c r="B8" s="94"/>
      <c r="C8" s="94"/>
      <c r="D8" s="94" t="s">
        <v>9</v>
      </c>
      <c r="E8" s="94"/>
      <c r="F8" s="11"/>
      <c r="G8" s="12"/>
      <c r="H8" s="12"/>
      <c r="I8" s="94" t="s">
        <v>10</v>
      </c>
      <c r="J8" s="94"/>
    </row>
    <row r="9" spans="1:12">
      <c r="A9" s="9" t="s">
        <v>11</v>
      </c>
      <c r="B9" s="95" t="s">
        <v>12</v>
      </c>
      <c r="C9" s="96"/>
      <c r="D9" s="9" t="s">
        <v>13</v>
      </c>
      <c r="E9" s="9" t="s">
        <v>14</v>
      </c>
      <c r="F9" s="48" t="s">
        <v>15</v>
      </c>
      <c r="G9" s="95" t="s">
        <v>16</v>
      </c>
      <c r="H9" s="96"/>
      <c r="I9" s="95" t="s">
        <v>17</v>
      </c>
      <c r="J9" s="96"/>
    </row>
    <row r="10" spans="1:12">
      <c r="A10" s="14">
        <v>46163</v>
      </c>
      <c r="B10" s="94"/>
      <c r="C10" s="94"/>
      <c r="D10" s="15">
        <v>130</v>
      </c>
      <c r="E10" s="16"/>
      <c r="F10" s="16"/>
      <c r="G10" s="94"/>
      <c r="H10" s="94"/>
      <c r="I10" s="94"/>
      <c r="J10" s="94"/>
    </row>
    <row r="11" spans="1:12">
      <c r="A11" s="97" t="s">
        <v>18</v>
      </c>
      <c r="B11" s="98"/>
      <c r="C11" s="98"/>
      <c r="D11" s="98"/>
      <c r="E11" s="95" t="s">
        <v>19</v>
      </c>
      <c r="F11" s="95"/>
      <c r="G11" s="96"/>
      <c r="H11" s="96"/>
      <c r="I11" s="95" t="s">
        <v>20</v>
      </c>
      <c r="J11" s="96"/>
    </row>
    <row r="12" spans="1:12">
      <c r="A12" s="99" t="s">
        <v>21</v>
      </c>
      <c r="B12" s="99"/>
      <c r="C12" s="99"/>
      <c r="D12" s="99"/>
      <c r="E12" s="100"/>
      <c r="F12" s="100"/>
      <c r="G12" s="94"/>
      <c r="H12" s="94"/>
      <c r="I12" s="99"/>
      <c r="J12" s="99"/>
    </row>
    <row r="13" spans="1:12" ht="15.75">
      <c r="A13" s="101" t="s">
        <v>59</v>
      </c>
      <c r="B13" s="102"/>
      <c r="C13" s="102"/>
      <c r="D13" s="102"/>
      <c r="E13" s="102"/>
      <c r="F13" s="102"/>
      <c r="G13" s="102"/>
      <c r="H13" s="102"/>
      <c r="I13" s="102"/>
      <c r="J13" s="103"/>
    </row>
    <row r="14" spans="1:12" ht="24.95" customHeight="1">
      <c r="A14" s="95" t="s">
        <v>23</v>
      </c>
      <c r="B14" s="96"/>
      <c r="C14" s="96"/>
      <c r="D14" s="96"/>
      <c r="E14" s="9" t="s">
        <v>24</v>
      </c>
      <c r="F14" s="9" t="s">
        <v>25</v>
      </c>
      <c r="G14" s="9" t="s">
        <v>26</v>
      </c>
      <c r="H14" s="9" t="s">
        <v>27</v>
      </c>
      <c r="I14" s="9" t="s">
        <v>28</v>
      </c>
      <c r="J14" s="9"/>
    </row>
    <row r="15" spans="1:12">
      <c r="A15" s="104" t="s">
        <v>29</v>
      </c>
      <c r="B15" s="105"/>
      <c r="C15" s="105"/>
      <c r="D15" s="105"/>
      <c r="E15" s="105"/>
      <c r="F15" s="105"/>
      <c r="G15" s="105"/>
      <c r="H15" s="105"/>
      <c r="I15" s="105"/>
      <c r="J15" s="106"/>
    </row>
    <row r="16" spans="1:12" ht="15" customHeight="1">
      <c r="A16" s="118" t="s">
        <v>111</v>
      </c>
      <c r="B16" s="111"/>
      <c r="C16" s="111"/>
      <c r="D16" s="112"/>
      <c r="E16" s="1">
        <v>90</v>
      </c>
      <c r="F16" s="2">
        <f t="shared" ref="F16:F18" si="0">E16*H16/$D$10</f>
        <v>48.461538461538503</v>
      </c>
      <c r="G16" s="6">
        <v>130</v>
      </c>
      <c r="H16" s="52">
        <v>70</v>
      </c>
      <c r="I16" s="6">
        <f>G16*H16</f>
        <v>9100</v>
      </c>
      <c r="J16" s="50"/>
      <c r="K16" s="199"/>
      <c r="L16" s="161"/>
    </row>
    <row r="17" spans="1:10" ht="15" customHeight="1">
      <c r="A17" s="118" t="s">
        <v>112</v>
      </c>
      <c r="B17" s="111"/>
      <c r="C17" s="111"/>
      <c r="D17" s="112"/>
      <c r="E17" s="1">
        <v>90</v>
      </c>
      <c r="F17" s="2">
        <f t="shared" si="0"/>
        <v>48.461538461538503</v>
      </c>
      <c r="G17" s="6">
        <v>110</v>
      </c>
      <c r="H17" s="52">
        <v>70</v>
      </c>
      <c r="I17" s="6">
        <f>G17*H17</f>
        <v>7700</v>
      </c>
      <c r="J17" s="50"/>
    </row>
    <row r="18" spans="1:10" ht="24.95" customHeight="1">
      <c r="A18" s="107" t="s">
        <v>113</v>
      </c>
      <c r="B18" s="163"/>
      <c r="C18" s="163"/>
      <c r="D18" s="164"/>
      <c r="E18" s="1">
        <v>40</v>
      </c>
      <c r="F18" s="2">
        <f t="shared" si="0"/>
        <v>21.538461538461501</v>
      </c>
      <c r="G18" s="2">
        <v>90</v>
      </c>
      <c r="H18" s="52">
        <v>70</v>
      </c>
      <c r="I18" s="6">
        <f>G18*H18</f>
        <v>6300</v>
      </c>
      <c r="J18" s="69"/>
    </row>
    <row r="19" spans="1:10" ht="15.75">
      <c r="A19" s="89" t="s">
        <v>64</v>
      </c>
      <c r="B19" s="90"/>
      <c r="C19" s="90"/>
      <c r="D19" s="90"/>
      <c r="E19" s="90"/>
      <c r="F19" s="90"/>
      <c r="G19" s="90"/>
      <c r="H19" s="90"/>
      <c r="I19" s="90"/>
      <c r="J19" s="90"/>
    </row>
    <row r="20" spans="1:10" ht="24.95" customHeight="1">
      <c r="A20" s="95" t="s">
        <v>23</v>
      </c>
      <c r="B20" s="96"/>
      <c r="C20" s="96"/>
      <c r="D20" s="96"/>
      <c r="E20" s="9" t="s">
        <v>24</v>
      </c>
      <c r="F20" s="9" t="s">
        <v>25</v>
      </c>
      <c r="G20" s="9" t="s">
        <v>26</v>
      </c>
      <c r="H20" s="9" t="s">
        <v>27</v>
      </c>
      <c r="I20" s="9" t="s">
        <v>28</v>
      </c>
      <c r="J20" s="9"/>
    </row>
    <row r="21" spans="1:10" ht="15" customHeight="1">
      <c r="A21" s="115" t="s">
        <v>114</v>
      </c>
      <c r="B21" s="116"/>
      <c r="C21" s="116"/>
      <c r="D21" s="117"/>
      <c r="E21" s="52">
        <v>30</v>
      </c>
      <c r="F21" s="2">
        <f t="shared" ref="F21:F23" si="1">E21*H21/$D$10</f>
        <v>13.846153846153801</v>
      </c>
      <c r="G21" s="6">
        <v>80</v>
      </c>
      <c r="H21" s="1">
        <v>60</v>
      </c>
      <c r="I21" s="1">
        <f>H21*G21</f>
        <v>4800</v>
      </c>
      <c r="J21" s="53"/>
    </row>
    <row r="22" spans="1:10" ht="15" customHeight="1">
      <c r="A22" s="115" t="s">
        <v>115</v>
      </c>
      <c r="B22" s="153"/>
      <c r="C22" s="153"/>
      <c r="D22" s="154"/>
      <c r="E22" s="52">
        <v>30</v>
      </c>
      <c r="F22" s="2">
        <f t="shared" si="1"/>
        <v>13.846153846153801</v>
      </c>
      <c r="G22" s="6">
        <v>30</v>
      </c>
      <c r="H22" s="52">
        <v>60</v>
      </c>
      <c r="I22" s="1">
        <f>H22*G22</f>
        <v>1800</v>
      </c>
      <c r="J22" s="50"/>
    </row>
    <row r="23" spans="1:10" ht="15" customHeight="1">
      <c r="A23" s="114" t="s">
        <v>116</v>
      </c>
      <c r="B23" s="114" t="s">
        <v>40</v>
      </c>
      <c r="C23" s="114" t="s">
        <v>40</v>
      </c>
      <c r="D23" s="114" t="s">
        <v>40</v>
      </c>
      <c r="E23" s="55">
        <v>50</v>
      </c>
      <c r="F23" s="2">
        <f t="shared" si="1"/>
        <v>23.076923076923102</v>
      </c>
      <c r="G23" s="6">
        <v>65</v>
      </c>
      <c r="H23" s="2">
        <v>60</v>
      </c>
      <c r="I23" s="1">
        <f>H23*G23</f>
        <v>3900</v>
      </c>
      <c r="J23" s="54"/>
    </row>
    <row r="24" spans="1:10" ht="15.75">
      <c r="A24" s="101" t="s">
        <v>68</v>
      </c>
      <c r="B24" s="102"/>
      <c r="C24" s="102"/>
      <c r="D24" s="102"/>
      <c r="E24" s="102"/>
      <c r="F24" s="102"/>
      <c r="G24" s="102"/>
      <c r="H24" s="102"/>
      <c r="I24" s="102"/>
      <c r="J24" s="103"/>
    </row>
    <row r="25" spans="1:10" ht="24.95" customHeight="1">
      <c r="A25" s="95" t="s">
        <v>23</v>
      </c>
      <c r="B25" s="96"/>
      <c r="C25" s="96"/>
      <c r="D25" s="96"/>
      <c r="E25" s="9" t="s">
        <v>24</v>
      </c>
      <c r="F25" s="9" t="s">
        <v>25</v>
      </c>
      <c r="G25" s="9" t="s">
        <v>26</v>
      </c>
      <c r="H25" s="9" t="s">
        <v>27</v>
      </c>
      <c r="I25" s="9" t="s">
        <v>28</v>
      </c>
      <c r="J25" s="9"/>
    </row>
    <row r="26" spans="1:10">
      <c r="A26" s="104" t="s">
        <v>29</v>
      </c>
      <c r="B26" s="105"/>
      <c r="C26" s="105"/>
      <c r="D26" s="105"/>
      <c r="E26" s="105"/>
      <c r="F26" s="105"/>
      <c r="G26" s="105"/>
      <c r="H26" s="105"/>
      <c r="I26" s="105"/>
      <c r="J26" s="106"/>
    </row>
    <row r="27" spans="1:10">
      <c r="A27" s="138" t="s">
        <v>69</v>
      </c>
      <c r="B27" s="139"/>
      <c r="C27" s="139"/>
      <c r="D27" s="140"/>
      <c r="E27" s="5">
        <v>30</v>
      </c>
      <c r="F27" s="2">
        <f t="shared" ref="F27:F30" si="2">E27*H27/$D$10</f>
        <v>13.846153846153801</v>
      </c>
      <c r="G27" s="6">
        <v>30</v>
      </c>
      <c r="H27" s="5">
        <v>60</v>
      </c>
      <c r="I27" s="2">
        <f>H27*G27</f>
        <v>1800</v>
      </c>
      <c r="J27" s="56"/>
    </row>
    <row r="28" spans="1:10">
      <c r="A28" s="141" t="s">
        <v>70</v>
      </c>
      <c r="B28" s="142"/>
      <c r="C28" s="142"/>
      <c r="D28" s="142"/>
      <c r="E28" s="5">
        <v>30</v>
      </c>
      <c r="F28" s="2">
        <f t="shared" si="2"/>
        <v>13.846153846153801</v>
      </c>
      <c r="G28" s="6">
        <v>30</v>
      </c>
      <c r="H28" s="5">
        <v>60</v>
      </c>
      <c r="I28" s="2">
        <f>H28*G28</f>
        <v>1800</v>
      </c>
      <c r="J28" s="56"/>
    </row>
    <row r="29" spans="1:10">
      <c r="A29" s="141" t="s">
        <v>72</v>
      </c>
      <c r="B29" s="141"/>
      <c r="C29" s="141"/>
      <c r="D29" s="141"/>
      <c r="E29" s="5">
        <v>30</v>
      </c>
      <c r="F29" s="2">
        <f t="shared" si="2"/>
        <v>13.846153846153801</v>
      </c>
      <c r="G29" s="6">
        <v>50</v>
      </c>
      <c r="H29" s="5">
        <v>60</v>
      </c>
      <c r="I29" s="2">
        <f>H29*G29</f>
        <v>3000</v>
      </c>
      <c r="J29" s="56"/>
    </row>
    <row r="30" spans="1:10">
      <c r="A30" s="143" t="s">
        <v>73</v>
      </c>
      <c r="B30" s="143"/>
      <c r="C30" s="143"/>
      <c r="D30" s="143"/>
      <c r="E30" s="1">
        <v>90</v>
      </c>
      <c r="F30" s="2">
        <f t="shared" si="2"/>
        <v>41.538461538461497</v>
      </c>
      <c r="G30" s="1">
        <v>120</v>
      </c>
      <c r="H30" s="49">
        <v>60</v>
      </c>
      <c r="I30" s="2">
        <f>H30*G30</f>
        <v>7200</v>
      </c>
      <c r="J30" s="51"/>
    </row>
    <row r="31" spans="1:10">
      <c r="A31" s="95" t="s">
        <v>74</v>
      </c>
      <c r="B31" s="95"/>
      <c r="C31" s="95"/>
      <c r="D31" s="95"/>
      <c r="E31" s="95"/>
      <c r="F31" s="95"/>
      <c r="G31" s="95"/>
      <c r="H31" s="95"/>
      <c r="I31" s="95"/>
      <c r="J31" s="95"/>
    </row>
    <row r="32" spans="1:10">
      <c r="A32" s="143" t="s">
        <v>75</v>
      </c>
      <c r="B32" s="143"/>
      <c r="C32" s="143"/>
      <c r="D32" s="143"/>
      <c r="E32" s="2">
        <v>100</v>
      </c>
      <c r="F32" s="2">
        <f>H32*E32/D10</f>
        <v>30.769230769230798</v>
      </c>
      <c r="G32" s="2">
        <v>90</v>
      </c>
      <c r="H32" s="2">
        <v>40</v>
      </c>
      <c r="I32" s="2">
        <f>H32*G32</f>
        <v>3600</v>
      </c>
      <c r="J32" s="56"/>
    </row>
    <row r="33" spans="1:10">
      <c r="A33" s="115" t="s">
        <v>76</v>
      </c>
      <c r="B33" s="116"/>
      <c r="C33" s="116"/>
      <c r="D33" s="117"/>
      <c r="E33" s="52">
        <v>100</v>
      </c>
      <c r="F33" s="2">
        <f>E33*H33/$D$10</f>
        <v>53.846153846153797</v>
      </c>
      <c r="G33" s="6">
        <v>35</v>
      </c>
      <c r="H33" s="2">
        <v>70</v>
      </c>
      <c r="I33" s="2">
        <f>H33*G33</f>
        <v>2450</v>
      </c>
      <c r="J33" s="56"/>
    </row>
    <row r="34" spans="1:10">
      <c r="A34" s="118" t="s">
        <v>44</v>
      </c>
      <c r="B34" s="111"/>
      <c r="C34" s="111"/>
      <c r="D34" s="112"/>
      <c r="E34" s="52">
        <v>100</v>
      </c>
      <c r="F34" s="2">
        <f>E34*H34/$D$10</f>
        <v>46.153846153846203</v>
      </c>
      <c r="G34" s="6">
        <v>75</v>
      </c>
      <c r="H34" s="2">
        <v>60</v>
      </c>
      <c r="I34" s="2">
        <f>H34*G34</f>
        <v>4500</v>
      </c>
      <c r="J34" s="56"/>
    </row>
    <row r="35" spans="1:10">
      <c r="A35" s="17" t="s">
        <v>46</v>
      </c>
      <c r="B35" s="64"/>
      <c r="C35" s="64"/>
      <c r="D35" s="65"/>
      <c r="E35" s="1">
        <v>100</v>
      </c>
      <c r="F35" s="2">
        <f>E35*H35/$D$10</f>
        <v>30.769230769230798</v>
      </c>
      <c r="G35" s="1">
        <v>180</v>
      </c>
      <c r="H35" s="2">
        <v>40</v>
      </c>
      <c r="I35" s="2">
        <f>H35*G35</f>
        <v>7200</v>
      </c>
      <c r="J35" s="56"/>
    </row>
    <row r="36" spans="1:10">
      <c r="A36" s="119" t="s">
        <v>48</v>
      </c>
      <c r="B36" s="120"/>
      <c r="C36" s="120"/>
      <c r="D36" s="120"/>
      <c r="E36" s="120"/>
      <c r="F36" s="120"/>
      <c r="G36" s="120"/>
      <c r="H36" s="120"/>
      <c r="I36" s="120"/>
      <c r="J36" s="57">
        <f>SUM(I15:I35)</f>
        <v>65150</v>
      </c>
    </row>
    <row r="37" spans="1:10">
      <c r="A37" s="121" t="s">
        <v>49</v>
      </c>
      <c r="B37" s="122"/>
      <c r="C37" s="122"/>
      <c r="D37" s="122"/>
      <c r="E37" s="122"/>
      <c r="F37" s="122"/>
      <c r="G37" s="122"/>
      <c r="H37" s="122"/>
      <c r="I37" s="122"/>
      <c r="J37" s="58">
        <f>SUM(F13:F35)</f>
        <v>413.84615384615398</v>
      </c>
    </row>
    <row r="38" spans="1:10" ht="15.75">
      <c r="A38" s="89" t="s">
        <v>50</v>
      </c>
      <c r="B38" s="90"/>
      <c r="C38" s="90"/>
      <c r="D38" s="90"/>
      <c r="E38" s="90"/>
      <c r="F38" s="90"/>
      <c r="G38" s="90"/>
      <c r="H38" s="90"/>
      <c r="I38" s="90"/>
      <c r="J38" s="90"/>
    </row>
    <row r="39" spans="1:10" ht="24.95" customHeight="1">
      <c r="A39" s="95" t="s">
        <v>23</v>
      </c>
      <c r="B39" s="96"/>
      <c r="C39" s="96"/>
      <c r="D39" s="96"/>
      <c r="E39" s="9" t="s">
        <v>24</v>
      </c>
      <c r="F39" s="9" t="s">
        <v>25</v>
      </c>
      <c r="G39" s="9" t="s">
        <v>26</v>
      </c>
      <c r="H39" s="9" t="s">
        <v>27</v>
      </c>
      <c r="I39" s="9" t="s">
        <v>28</v>
      </c>
      <c r="J39" s="9"/>
    </row>
    <row r="40" spans="1:10">
      <c r="A40" s="118" t="s">
        <v>51</v>
      </c>
      <c r="B40" s="111"/>
      <c r="C40" s="111"/>
      <c r="D40" s="112"/>
      <c r="E40" s="52">
        <v>200</v>
      </c>
      <c r="F40" s="6"/>
      <c r="G40" s="52">
        <v>35</v>
      </c>
      <c r="H40" s="52">
        <v>80</v>
      </c>
      <c r="I40" s="6">
        <f>G40*H40</f>
        <v>2800</v>
      </c>
      <c r="J40" s="50"/>
    </row>
    <row r="41" spans="1:10">
      <c r="A41" s="123" t="s">
        <v>52</v>
      </c>
      <c r="B41" s="124"/>
      <c r="C41" s="124"/>
      <c r="D41" s="124"/>
      <c r="E41" s="59" t="s">
        <v>53</v>
      </c>
      <c r="F41" s="6"/>
      <c r="G41" s="59">
        <v>100</v>
      </c>
      <c r="H41" s="60">
        <v>100</v>
      </c>
      <c r="I41" s="6">
        <f>G41*H41</f>
        <v>10000</v>
      </c>
      <c r="J41" s="50"/>
    </row>
    <row r="42" spans="1:10">
      <c r="A42" s="123" t="s">
        <v>54</v>
      </c>
      <c r="B42" s="123"/>
      <c r="C42" s="123"/>
      <c r="D42" s="123"/>
      <c r="E42" s="59">
        <v>10</v>
      </c>
      <c r="F42" s="6"/>
      <c r="G42" s="59">
        <v>20</v>
      </c>
      <c r="H42" s="60">
        <v>100</v>
      </c>
      <c r="I42" s="6">
        <f>G42*H42</f>
        <v>2000</v>
      </c>
      <c r="J42" s="50"/>
    </row>
    <row r="43" spans="1:10">
      <c r="A43" s="119" t="s">
        <v>55</v>
      </c>
      <c r="B43" s="120"/>
      <c r="C43" s="120"/>
      <c r="D43" s="120"/>
      <c r="E43" s="120"/>
      <c r="F43" s="120"/>
      <c r="G43" s="120"/>
      <c r="H43" s="120"/>
      <c r="I43" s="120"/>
      <c r="J43" s="24">
        <f>SUM(I40:I42)</f>
        <v>14800</v>
      </c>
    </row>
    <row r="44" spans="1:10">
      <c r="A44" s="125" t="s">
        <v>56</v>
      </c>
      <c r="B44" s="126"/>
      <c r="C44" s="126"/>
      <c r="D44" s="126"/>
      <c r="E44" s="126"/>
      <c r="F44" s="126"/>
      <c r="G44" s="126"/>
      <c r="H44" s="126"/>
      <c r="I44" s="127"/>
      <c r="J44" s="24">
        <v>11600</v>
      </c>
    </row>
    <row r="45" spans="1:10" ht="15.75">
      <c r="A45" s="128" t="s">
        <v>57</v>
      </c>
      <c r="B45" s="129"/>
      <c r="C45" s="129"/>
      <c r="D45" s="129"/>
      <c r="E45" s="129"/>
      <c r="F45" s="129"/>
      <c r="G45" s="129"/>
      <c r="H45" s="129"/>
      <c r="I45" s="129"/>
      <c r="J45" s="61">
        <f>J36+J43+J44</f>
        <v>91550</v>
      </c>
    </row>
    <row r="46" spans="1:10">
      <c r="A46" s="121" t="s">
        <v>58</v>
      </c>
      <c r="B46" s="122"/>
      <c r="C46" s="122"/>
      <c r="D46" s="122"/>
      <c r="E46" s="122"/>
      <c r="F46" s="122"/>
      <c r="G46" s="122"/>
      <c r="H46" s="122"/>
      <c r="I46" s="122"/>
      <c r="J46" s="62">
        <f>J45/$D$10</f>
        <v>704.23076923076906</v>
      </c>
    </row>
  </sheetData>
  <mergeCells count="55">
    <mergeCell ref="K16:L16"/>
    <mergeCell ref="A44:I44"/>
    <mergeCell ref="A45:I45"/>
    <mergeCell ref="A46:I46"/>
    <mergeCell ref="A1:J4"/>
    <mergeCell ref="A6:C7"/>
    <mergeCell ref="D6:E7"/>
    <mergeCell ref="I6:J7"/>
    <mergeCell ref="A39:D39"/>
    <mergeCell ref="A40:D40"/>
    <mergeCell ref="A41:D41"/>
    <mergeCell ref="A42:D42"/>
    <mergeCell ref="A43:I43"/>
    <mergeCell ref="A33:D33"/>
    <mergeCell ref="A34:D34"/>
    <mergeCell ref="A36:I36"/>
    <mergeCell ref="A37:I37"/>
    <mergeCell ref="A38:J38"/>
    <mergeCell ref="A28:D28"/>
    <mergeCell ref="A29:D29"/>
    <mergeCell ref="A30:D30"/>
    <mergeCell ref="A31:J31"/>
    <mergeCell ref="A32:D32"/>
    <mergeCell ref="A23:D23"/>
    <mergeCell ref="A24:J24"/>
    <mergeCell ref="A25:D25"/>
    <mergeCell ref="A26:J26"/>
    <mergeCell ref="A27:D27"/>
    <mergeCell ref="A18:D18"/>
    <mergeCell ref="A19:J19"/>
    <mergeCell ref="A20:D20"/>
    <mergeCell ref="A21:D21"/>
    <mergeCell ref="A22:D22"/>
    <mergeCell ref="A13:J13"/>
    <mergeCell ref="A14:D14"/>
    <mergeCell ref="A15:J15"/>
    <mergeCell ref="A16:D16"/>
    <mergeCell ref="A17:D17"/>
    <mergeCell ref="A11:D11"/>
    <mergeCell ref="E11:H11"/>
    <mergeCell ref="I11:J11"/>
    <mergeCell ref="A12:D12"/>
    <mergeCell ref="E12:H12"/>
    <mergeCell ref="I12:J12"/>
    <mergeCell ref="B9:C9"/>
    <mergeCell ref="G9:H9"/>
    <mergeCell ref="I9:J9"/>
    <mergeCell ref="B10:C10"/>
    <mergeCell ref="G10:H10"/>
    <mergeCell ref="I10:J10"/>
    <mergeCell ref="A5:J5"/>
    <mergeCell ref="F6:H6"/>
    <mergeCell ref="A8:C8"/>
    <mergeCell ref="D8:E8"/>
    <mergeCell ref="I8:J8"/>
  </mergeCells>
  <pageMargins left="0.75" right="0.75" top="1" bottom="1" header="0.5" footer="0.5"/>
  <pageSetup paperSize="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0.59999389629810485"/>
  </sheetPr>
  <dimension ref="A1:K44"/>
  <sheetViews>
    <sheetView topLeftCell="A13" workbookViewId="0">
      <selection activeCell="L35" sqref="L35"/>
    </sheetView>
  </sheetViews>
  <sheetFormatPr defaultColWidth="9" defaultRowHeight="15"/>
  <cols>
    <col min="1" max="1" width="10.69921875" customWidth="1"/>
    <col min="2" max="9" width="5.19921875" customWidth="1"/>
    <col min="10" max="10" width="10.69921875" customWidth="1"/>
  </cols>
  <sheetData>
    <row r="1" spans="1:11" ht="24.95" customHeight="1">
      <c r="A1" s="86"/>
      <c r="B1" s="86"/>
      <c r="C1" s="86"/>
      <c r="D1" s="144"/>
      <c r="E1" s="144"/>
      <c r="F1" s="144"/>
      <c r="G1" s="144"/>
      <c r="H1" s="144"/>
      <c r="I1" s="144"/>
      <c r="J1" s="144"/>
    </row>
    <row r="2" spans="1:11" ht="24.95" customHeight="1">
      <c r="A2" s="86"/>
      <c r="B2" s="86"/>
      <c r="C2" s="86"/>
      <c r="D2" s="144"/>
      <c r="E2" s="144"/>
      <c r="F2" s="144"/>
      <c r="G2" s="144"/>
      <c r="H2" s="144"/>
      <c r="I2" s="144"/>
      <c r="J2" s="144"/>
    </row>
    <row r="3" spans="1:11" ht="24.95" customHeight="1">
      <c r="A3" s="144"/>
      <c r="B3" s="144"/>
      <c r="C3" s="144"/>
      <c r="D3" s="144"/>
      <c r="E3" s="144"/>
      <c r="F3" s="144"/>
      <c r="G3" s="144"/>
      <c r="H3" s="144"/>
      <c r="I3" s="144"/>
      <c r="J3" s="144"/>
    </row>
    <row r="4" spans="1:11" ht="24.95" customHeight="1">
      <c r="A4" s="145"/>
      <c r="B4" s="145"/>
      <c r="C4" s="145"/>
      <c r="D4" s="145"/>
      <c r="E4" s="145"/>
      <c r="F4" s="145"/>
      <c r="G4" s="145"/>
      <c r="H4" s="145"/>
      <c r="I4" s="145"/>
      <c r="J4" s="145"/>
    </row>
    <row r="5" spans="1:11" ht="24.95" customHeight="1">
      <c r="A5" s="89" t="s">
        <v>0</v>
      </c>
      <c r="B5" s="90"/>
      <c r="C5" s="90"/>
      <c r="D5" s="90"/>
      <c r="E5" s="90"/>
      <c r="F5" s="90"/>
      <c r="G5" s="90"/>
      <c r="H5" s="90"/>
      <c r="I5" s="90"/>
      <c r="J5" s="90"/>
    </row>
    <row r="6" spans="1:11">
      <c r="A6" s="95" t="s">
        <v>1</v>
      </c>
      <c r="B6" s="96"/>
      <c r="C6" s="96"/>
      <c r="D6" s="95" t="s">
        <v>2</v>
      </c>
      <c r="E6" s="96"/>
      <c r="F6" s="91" t="s">
        <v>3</v>
      </c>
      <c r="G6" s="92"/>
      <c r="H6" s="93"/>
      <c r="I6" s="95" t="s">
        <v>4</v>
      </c>
      <c r="J6" s="96"/>
    </row>
    <row r="7" spans="1:11" ht="25.5">
      <c r="A7" s="96"/>
      <c r="B7" s="96"/>
      <c r="C7" s="96"/>
      <c r="D7" s="96"/>
      <c r="E7" s="96"/>
      <c r="F7" s="10" t="s">
        <v>5</v>
      </c>
      <c r="G7" s="9" t="s">
        <v>6</v>
      </c>
      <c r="H7" s="9" t="s">
        <v>7</v>
      </c>
      <c r="I7" s="96"/>
      <c r="J7" s="96"/>
    </row>
    <row r="8" spans="1:11">
      <c r="A8" s="94" t="s">
        <v>8</v>
      </c>
      <c r="B8" s="94"/>
      <c r="C8" s="94"/>
      <c r="D8" s="94" t="s">
        <v>9</v>
      </c>
      <c r="E8" s="94"/>
      <c r="F8" s="11"/>
      <c r="G8" s="12"/>
      <c r="H8" s="12"/>
      <c r="I8" s="94" t="s">
        <v>10</v>
      </c>
      <c r="J8" s="94"/>
    </row>
    <row r="9" spans="1:11">
      <c r="A9" s="9" t="s">
        <v>11</v>
      </c>
      <c r="B9" s="95" t="s">
        <v>12</v>
      </c>
      <c r="C9" s="96"/>
      <c r="D9" s="9" t="s">
        <v>13</v>
      </c>
      <c r="E9" s="9" t="s">
        <v>14</v>
      </c>
      <c r="F9" s="48" t="s">
        <v>15</v>
      </c>
      <c r="G9" s="95" t="s">
        <v>16</v>
      </c>
      <c r="H9" s="96"/>
      <c r="I9" s="95" t="s">
        <v>17</v>
      </c>
      <c r="J9" s="96"/>
    </row>
    <row r="10" spans="1:11">
      <c r="A10" s="14">
        <v>46164</v>
      </c>
      <c r="B10" s="94"/>
      <c r="C10" s="94"/>
      <c r="D10" s="15">
        <v>130</v>
      </c>
      <c r="E10" s="16"/>
      <c r="F10" s="16"/>
      <c r="G10" s="94"/>
      <c r="H10" s="94"/>
      <c r="I10" s="94"/>
      <c r="J10" s="94"/>
    </row>
    <row r="11" spans="1:11">
      <c r="A11" s="97" t="s">
        <v>18</v>
      </c>
      <c r="B11" s="98"/>
      <c r="C11" s="98"/>
      <c r="D11" s="98"/>
      <c r="E11" s="95" t="s">
        <v>19</v>
      </c>
      <c r="F11" s="95"/>
      <c r="G11" s="96"/>
      <c r="H11" s="96"/>
      <c r="I11" s="95" t="s">
        <v>20</v>
      </c>
      <c r="J11" s="96"/>
    </row>
    <row r="12" spans="1:11">
      <c r="A12" s="99" t="s">
        <v>21</v>
      </c>
      <c r="B12" s="99"/>
      <c r="C12" s="99"/>
      <c r="D12" s="99"/>
      <c r="E12" s="100"/>
      <c r="F12" s="100"/>
      <c r="G12" s="94"/>
      <c r="H12" s="94"/>
      <c r="I12" s="99"/>
      <c r="J12" s="99"/>
    </row>
    <row r="13" spans="1:11" ht="15.75">
      <c r="A13" s="101" t="s">
        <v>22</v>
      </c>
      <c r="B13" s="102"/>
      <c r="C13" s="102"/>
      <c r="D13" s="102"/>
      <c r="E13" s="102"/>
      <c r="F13" s="102"/>
      <c r="G13" s="102"/>
      <c r="H13" s="102"/>
      <c r="I13" s="102"/>
      <c r="J13" s="103"/>
    </row>
    <row r="14" spans="1:11" ht="24.95" customHeight="1">
      <c r="A14" s="95" t="s">
        <v>23</v>
      </c>
      <c r="B14" s="96"/>
      <c r="C14" s="96"/>
      <c r="D14" s="96"/>
      <c r="E14" s="9" t="s">
        <v>24</v>
      </c>
      <c r="F14" s="9" t="s">
        <v>25</v>
      </c>
      <c r="G14" s="9" t="s">
        <v>26</v>
      </c>
      <c r="H14" s="9" t="s">
        <v>27</v>
      </c>
      <c r="I14" s="9" t="s">
        <v>28</v>
      </c>
      <c r="J14" s="9"/>
    </row>
    <row r="15" spans="1:11">
      <c r="A15" s="104" t="s">
        <v>29</v>
      </c>
      <c r="B15" s="105"/>
      <c r="C15" s="105"/>
      <c r="D15" s="105"/>
      <c r="E15" s="105"/>
      <c r="F15" s="105"/>
      <c r="G15" s="105"/>
      <c r="H15" s="105"/>
      <c r="I15" s="105"/>
      <c r="J15" s="106"/>
    </row>
    <row r="16" spans="1:11">
      <c r="A16" s="138" t="s">
        <v>85</v>
      </c>
      <c r="B16" s="139"/>
      <c r="C16" s="139"/>
      <c r="D16" s="140"/>
      <c r="E16" s="5">
        <v>100</v>
      </c>
      <c r="F16" s="2">
        <f>E16*H16/$D$10</f>
        <v>46.153846153846203</v>
      </c>
      <c r="G16" s="6">
        <v>120</v>
      </c>
      <c r="H16" s="52">
        <v>60</v>
      </c>
      <c r="I16" s="6">
        <f t="shared" ref="I16:I19" si="0">G16*H16</f>
        <v>7200</v>
      </c>
      <c r="J16" s="50"/>
      <c r="K16" t="s">
        <v>90</v>
      </c>
    </row>
    <row r="17" spans="1:11">
      <c r="A17" s="110" t="s">
        <v>117</v>
      </c>
      <c r="B17" s="111"/>
      <c r="C17" s="111"/>
      <c r="D17" s="112"/>
      <c r="E17" s="52">
        <v>22</v>
      </c>
      <c r="F17" s="2">
        <f t="shared" ref="F17:F19" si="1">E17*H17/$D$10</f>
        <v>10.153846153846199</v>
      </c>
      <c r="G17" s="1">
        <v>90</v>
      </c>
      <c r="H17" s="52">
        <v>60</v>
      </c>
      <c r="I17" s="6">
        <f t="shared" si="0"/>
        <v>5400</v>
      </c>
      <c r="J17" s="50"/>
    </row>
    <row r="18" spans="1:11">
      <c r="A18" s="138" t="s">
        <v>118</v>
      </c>
      <c r="B18" s="139"/>
      <c r="C18" s="139"/>
      <c r="D18" s="140"/>
      <c r="E18" s="5">
        <v>30</v>
      </c>
      <c r="F18" s="2">
        <f t="shared" si="1"/>
        <v>13.846153846153801</v>
      </c>
      <c r="G18" s="6">
        <v>40</v>
      </c>
      <c r="H18" s="52">
        <v>60</v>
      </c>
      <c r="I18" s="6">
        <f t="shared" si="0"/>
        <v>2400</v>
      </c>
      <c r="J18" s="50"/>
    </row>
    <row r="19" spans="1:11" ht="15" customHeight="1">
      <c r="A19" s="141" t="s">
        <v>72</v>
      </c>
      <c r="B19" s="141"/>
      <c r="C19" s="141"/>
      <c r="D19" s="141"/>
      <c r="E19" s="5">
        <v>30</v>
      </c>
      <c r="F19" s="2">
        <f t="shared" si="1"/>
        <v>13.846153846153801</v>
      </c>
      <c r="G19" s="6">
        <v>50</v>
      </c>
      <c r="H19" s="52">
        <v>60</v>
      </c>
      <c r="I19" s="6">
        <f t="shared" si="0"/>
        <v>3000</v>
      </c>
      <c r="J19" s="50"/>
    </row>
    <row r="20" spans="1:11" ht="15.75">
      <c r="A20" s="101" t="s">
        <v>34</v>
      </c>
      <c r="B20" s="102"/>
      <c r="C20" s="102"/>
      <c r="D20" s="102"/>
      <c r="E20" s="102"/>
      <c r="F20" s="102"/>
      <c r="G20" s="102"/>
      <c r="H20" s="102"/>
      <c r="I20" s="102"/>
      <c r="J20" s="103"/>
    </row>
    <row r="21" spans="1:11" ht="24.95" customHeight="1">
      <c r="A21" s="95" t="s">
        <v>23</v>
      </c>
      <c r="B21" s="96"/>
      <c r="C21" s="96"/>
      <c r="D21" s="96"/>
      <c r="E21" s="9" t="s">
        <v>24</v>
      </c>
      <c r="F21" s="9" t="s">
        <v>25</v>
      </c>
      <c r="G21" s="9" t="s">
        <v>26</v>
      </c>
      <c r="H21" s="9" t="s">
        <v>27</v>
      </c>
      <c r="I21" s="9" t="s">
        <v>28</v>
      </c>
      <c r="J21" s="9"/>
    </row>
    <row r="22" spans="1:11" ht="15" customHeight="1">
      <c r="A22" s="113" t="s">
        <v>35</v>
      </c>
      <c r="B22" s="113" t="s">
        <v>36</v>
      </c>
      <c r="C22" s="113" t="s">
        <v>36</v>
      </c>
      <c r="D22" s="113" t="s">
        <v>36</v>
      </c>
      <c r="E22" s="63">
        <v>75</v>
      </c>
      <c r="F22" s="2">
        <f>E22*H22/$D$10</f>
        <v>34.615384615384599</v>
      </c>
      <c r="G22" s="6">
        <v>130</v>
      </c>
      <c r="H22" s="2">
        <v>60</v>
      </c>
      <c r="I22" s="1">
        <f t="shared" ref="I22:I27" si="2">H22*G22</f>
        <v>7800</v>
      </c>
      <c r="J22" s="54"/>
    </row>
    <row r="23" spans="1:11" ht="15" customHeight="1">
      <c r="A23" s="113" t="s">
        <v>119</v>
      </c>
      <c r="B23" s="113" t="s">
        <v>36</v>
      </c>
      <c r="C23" s="113" t="s">
        <v>36</v>
      </c>
      <c r="D23" s="113" t="s">
        <v>36</v>
      </c>
      <c r="E23" s="63">
        <v>75</v>
      </c>
      <c r="F23" s="2">
        <f>E23*H23/$D$10</f>
        <v>34.615384615384599</v>
      </c>
      <c r="G23" s="6">
        <v>150</v>
      </c>
      <c r="H23" s="2">
        <v>60</v>
      </c>
      <c r="I23" s="1">
        <f t="shared" si="2"/>
        <v>9000</v>
      </c>
      <c r="J23" s="54"/>
      <c r="K23" t="s">
        <v>120</v>
      </c>
    </row>
    <row r="24" spans="1:11" ht="15.75">
      <c r="A24" s="101" t="s">
        <v>38</v>
      </c>
      <c r="B24" s="102"/>
      <c r="C24" s="102"/>
      <c r="D24" s="102"/>
      <c r="E24" s="102"/>
      <c r="F24" s="102"/>
      <c r="G24" s="102"/>
      <c r="H24" s="102"/>
      <c r="I24" s="102"/>
      <c r="J24" s="103"/>
    </row>
    <row r="25" spans="1:11" ht="24.95" customHeight="1">
      <c r="A25" s="95" t="s">
        <v>23</v>
      </c>
      <c r="B25" s="96"/>
      <c r="C25" s="96"/>
      <c r="D25" s="96"/>
      <c r="E25" s="9" t="s">
        <v>24</v>
      </c>
      <c r="F25" s="9" t="s">
        <v>25</v>
      </c>
      <c r="G25" s="9" t="s">
        <v>26</v>
      </c>
      <c r="H25" s="9" t="s">
        <v>27</v>
      </c>
      <c r="I25" s="9" t="s">
        <v>28</v>
      </c>
      <c r="J25" s="9"/>
    </row>
    <row r="26" spans="1:11" ht="24.95" customHeight="1">
      <c r="A26" s="165" t="s">
        <v>121</v>
      </c>
      <c r="B26" s="166"/>
      <c r="C26" s="166"/>
      <c r="D26" s="166"/>
      <c r="E26" s="52">
        <v>35</v>
      </c>
      <c r="F26" s="2">
        <f>E26*H26/$D$10</f>
        <v>16.153846153846199</v>
      </c>
      <c r="G26" s="6">
        <v>120</v>
      </c>
      <c r="H26" s="2">
        <v>60</v>
      </c>
      <c r="I26" s="1">
        <f t="shared" si="2"/>
        <v>7200</v>
      </c>
      <c r="J26" s="54"/>
    </row>
    <row r="27" spans="1:11">
      <c r="A27" s="114" t="s">
        <v>122</v>
      </c>
      <c r="B27" s="114" t="s">
        <v>40</v>
      </c>
      <c r="C27" s="114" t="s">
        <v>40</v>
      </c>
      <c r="D27" s="114" t="s">
        <v>40</v>
      </c>
      <c r="E27" s="55">
        <v>50</v>
      </c>
      <c r="F27" s="2">
        <f>E27*H27/$D$10</f>
        <v>23.076923076923102</v>
      </c>
      <c r="G27" s="6">
        <v>90</v>
      </c>
      <c r="H27" s="2">
        <v>60</v>
      </c>
      <c r="I27" s="1">
        <f t="shared" si="2"/>
        <v>5400</v>
      </c>
      <c r="J27" s="54"/>
      <c r="K27" s="200" t="s">
        <v>120</v>
      </c>
    </row>
    <row r="28" spans="1:11" ht="15.75">
      <c r="A28" s="89" t="s">
        <v>42</v>
      </c>
      <c r="B28" s="90"/>
      <c r="C28" s="90"/>
      <c r="D28" s="90"/>
      <c r="E28" s="90"/>
      <c r="F28" s="90"/>
      <c r="G28" s="90"/>
      <c r="H28" s="90"/>
      <c r="I28" s="90"/>
      <c r="J28" s="90"/>
    </row>
    <row r="29" spans="1:11" ht="24.95" customHeight="1">
      <c r="A29" s="95" t="s">
        <v>23</v>
      </c>
      <c r="B29" s="96"/>
      <c r="C29" s="96"/>
      <c r="D29" s="96"/>
      <c r="E29" s="9" t="s">
        <v>24</v>
      </c>
      <c r="F29" s="9" t="s">
        <v>25</v>
      </c>
      <c r="G29" s="9" t="s">
        <v>26</v>
      </c>
      <c r="H29" s="9" t="s">
        <v>27</v>
      </c>
      <c r="I29" s="9" t="s">
        <v>28</v>
      </c>
      <c r="J29" s="9"/>
    </row>
    <row r="30" spans="1:11">
      <c r="A30" s="115" t="s">
        <v>43</v>
      </c>
      <c r="B30" s="116"/>
      <c r="C30" s="116"/>
      <c r="D30" s="117"/>
      <c r="E30" s="52">
        <v>100</v>
      </c>
      <c r="F30" s="2">
        <f>E30*H30/$D$10</f>
        <v>61.538461538461497</v>
      </c>
      <c r="G30" s="6">
        <v>35</v>
      </c>
      <c r="H30" s="49">
        <v>80</v>
      </c>
      <c r="I30" s="1">
        <f t="shared" ref="I30:I33" si="3">H30*G30</f>
        <v>2800</v>
      </c>
      <c r="J30" s="53"/>
    </row>
    <row r="31" spans="1:11">
      <c r="A31" s="118" t="s">
        <v>44</v>
      </c>
      <c r="B31" s="111"/>
      <c r="C31" s="111"/>
      <c r="D31" s="112"/>
      <c r="E31" s="52">
        <v>100</v>
      </c>
      <c r="F31" s="2">
        <f t="shared" ref="F31:F33" si="4">E31*H31/$D$10</f>
        <v>61.538461538461497</v>
      </c>
      <c r="G31" s="6">
        <v>75</v>
      </c>
      <c r="H31" s="52">
        <v>80</v>
      </c>
      <c r="I31" s="1">
        <f t="shared" si="3"/>
        <v>6000</v>
      </c>
      <c r="J31" s="50"/>
    </row>
    <row r="32" spans="1:11">
      <c r="A32" s="17" t="s">
        <v>46</v>
      </c>
      <c r="B32" s="64"/>
      <c r="C32" s="64"/>
      <c r="D32" s="65"/>
      <c r="E32" s="1">
        <v>100</v>
      </c>
      <c r="F32" s="2">
        <f t="shared" si="4"/>
        <v>30.769230769230798</v>
      </c>
      <c r="G32" s="1">
        <v>180</v>
      </c>
      <c r="H32" s="1">
        <v>40</v>
      </c>
      <c r="I32" s="1">
        <f t="shared" si="3"/>
        <v>7200</v>
      </c>
      <c r="J32" s="51"/>
    </row>
    <row r="33" spans="1:10">
      <c r="A33" s="17" t="s">
        <v>47</v>
      </c>
      <c r="B33" s="66"/>
      <c r="C33" s="66"/>
      <c r="D33" s="67"/>
      <c r="E33" s="2">
        <v>100</v>
      </c>
      <c r="F33" s="2">
        <f t="shared" si="4"/>
        <v>30.769230769230798</v>
      </c>
      <c r="G33" s="2">
        <v>90</v>
      </c>
      <c r="H33" s="2">
        <v>40</v>
      </c>
      <c r="I33" s="2">
        <f t="shared" si="3"/>
        <v>3600</v>
      </c>
      <c r="J33" s="56"/>
    </row>
    <row r="34" spans="1:10">
      <c r="A34" s="119" t="s">
        <v>48</v>
      </c>
      <c r="B34" s="120"/>
      <c r="C34" s="120"/>
      <c r="D34" s="120"/>
      <c r="E34" s="120"/>
      <c r="F34" s="120"/>
      <c r="G34" s="120"/>
      <c r="H34" s="120"/>
      <c r="I34" s="120"/>
      <c r="J34" s="57">
        <f>SUM(I13:I33)</f>
        <v>67000</v>
      </c>
    </row>
    <row r="35" spans="1:10">
      <c r="A35" s="121" t="s">
        <v>49</v>
      </c>
      <c r="B35" s="122"/>
      <c r="C35" s="122"/>
      <c r="D35" s="122"/>
      <c r="E35" s="122"/>
      <c r="F35" s="122"/>
      <c r="G35" s="122"/>
      <c r="H35" s="122"/>
      <c r="I35" s="122"/>
      <c r="J35" s="58">
        <f>SUM(F13:F31)</f>
        <v>315.538461538462</v>
      </c>
    </row>
    <row r="36" spans="1:10" ht="15.75">
      <c r="A36" s="89" t="s">
        <v>50</v>
      </c>
      <c r="B36" s="90"/>
      <c r="C36" s="90"/>
      <c r="D36" s="90"/>
      <c r="E36" s="90"/>
      <c r="F36" s="90"/>
      <c r="G36" s="90"/>
      <c r="H36" s="90"/>
      <c r="I36" s="90"/>
      <c r="J36" s="90"/>
    </row>
    <row r="37" spans="1:10" ht="24.95" customHeight="1">
      <c r="A37" s="95" t="s">
        <v>23</v>
      </c>
      <c r="B37" s="96"/>
      <c r="C37" s="96"/>
      <c r="D37" s="96"/>
      <c r="E37" s="9" t="s">
        <v>24</v>
      </c>
      <c r="F37" s="9" t="s">
        <v>25</v>
      </c>
      <c r="G37" s="9" t="s">
        <v>26</v>
      </c>
      <c r="H37" s="68" t="s">
        <v>27</v>
      </c>
      <c r="I37" s="9" t="s">
        <v>28</v>
      </c>
      <c r="J37" s="9"/>
    </row>
    <row r="38" spans="1:10">
      <c r="A38" s="118" t="s">
        <v>51</v>
      </c>
      <c r="B38" s="111"/>
      <c r="C38" s="111"/>
      <c r="D38" s="112"/>
      <c r="E38" s="52">
        <v>200</v>
      </c>
      <c r="F38" s="6"/>
      <c r="G38" s="52">
        <v>35</v>
      </c>
      <c r="H38" s="52">
        <v>80</v>
      </c>
      <c r="I38" s="6">
        <f t="shared" ref="I38:I40" si="5">G38*H38</f>
        <v>2800</v>
      </c>
      <c r="J38" s="50"/>
    </row>
    <row r="39" spans="1:10">
      <c r="A39" s="123" t="s">
        <v>52</v>
      </c>
      <c r="B39" s="124"/>
      <c r="C39" s="124"/>
      <c r="D39" s="124"/>
      <c r="E39" s="59" t="s">
        <v>53</v>
      </c>
      <c r="F39" s="6"/>
      <c r="G39" s="59">
        <v>100</v>
      </c>
      <c r="H39" s="50">
        <v>100</v>
      </c>
      <c r="I39" s="6">
        <f t="shared" si="5"/>
        <v>10000</v>
      </c>
      <c r="J39" s="50"/>
    </row>
    <row r="40" spans="1:10">
      <c r="A40" s="123" t="s">
        <v>54</v>
      </c>
      <c r="B40" s="123"/>
      <c r="C40" s="123"/>
      <c r="D40" s="123"/>
      <c r="E40" s="59">
        <v>10</v>
      </c>
      <c r="F40" s="6"/>
      <c r="G40" s="59">
        <v>20</v>
      </c>
      <c r="H40" s="60">
        <v>100</v>
      </c>
      <c r="I40" s="6">
        <f t="shared" si="5"/>
        <v>2000</v>
      </c>
      <c r="J40" s="50"/>
    </row>
    <row r="41" spans="1:10">
      <c r="A41" s="119" t="s">
        <v>55</v>
      </c>
      <c r="B41" s="120"/>
      <c r="C41" s="120"/>
      <c r="D41" s="120"/>
      <c r="E41" s="120"/>
      <c r="F41" s="120"/>
      <c r="G41" s="120"/>
      <c r="H41" s="120"/>
      <c r="I41" s="120"/>
      <c r="J41" s="24">
        <f>SUM(I38:I40)</f>
        <v>14800</v>
      </c>
    </row>
    <row r="42" spans="1:10">
      <c r="A42" s="125" t="s">
        <v>56</v>
      </c>
      <c r="B42" s="126"/>
      <c r="C42" s="126"/>
      <c r="D42" s="126"/>
      <c r="E42" s="126"/>
      <c r="F42" s="126"/>
      <c r="G42" s="126"/>
      <c r="H42" s="126"/>
      <c r="I42" s="127"/>
      <c r="J42" s="24">
        <v>11600</v>
      </c>
    </row>
    <row r="43" spans="1:10" ht="15.75">
      <c r="A43" s="128" t="s">
        <v>57</v>
      </c>
      <c r="B43" s="129"/>
      <c r="C43" s="129"/>
      <c r="D43" s="129"/>
      <c r="E43" s="129"/>
      <c r="F43" s="129"/>
      <c r="G43" s="129"/>
      <c r="H43" s="129"/>
      <c r="I43" s="129"/>
      <c r="J43" s="61">
        <f>J34+J41+J42</f>
        <v>93400</v>
      </c>
    </row>
    <row r="44" spans="1:10">
      <c r="A44" s="121" t="s">
        <v>58</v>
      </c>
      <c r="B44" s="122"/>
      <c r="C44" s="122"/>
      <c r="D44" s="122"/>
      <c r="E44" s="122"/>
      <c r="F44" s="122"/>
      <c r="G44" s="122"/>
      <c r="H44" s="122"/>
      <c r="I44" s="122"/>
      <c r="J44" s="62" t="e">
        <f>J43/$D$11</f>
        <v>#DIV/0!</v>
      </c>
    </row>
  </sheetData>
  <mergeCells count="51">
    <mergeCell ref="A1:J4"/>
    <mergeCell ref="A6:C7"/>
    <mergeCell ref="D6:E7"/>
    <mergeCell ref="I6:J7"/>
    <mergeCell ref="A40:D40"/>
    <mergeCell ref="A41:I41"/>
    <mergeCell ref="A42:I42"/>
    <mergeCell ref="A43:I43"/>
    <mergeCell ref="A44:I44"/>
    <mergeCell ref="A35:I35"/>
    <mergeCell ref="A36:J36"/>
    <mergeCell ref="A37:D37"/>
    <mergeCell ref="A38:D38"/>
    <mergeCell ref="A39:D39"/>
    <mergeCell ref="A28:J28"/>
    <mergeCell ref="A29:D29"/>
    <mergeCell ref="A30:D30"/>
    <mergeCell ref="A31:D31"/>
    <mergeCell ref="A34:I34"/>
    <mergeCell ref="A23:D23"/>
    <mergeCell ref="A24:J24"/>
    <mergeCell ref="A25:D25"/>
    <mergeCell ref="A26:D26"/>
    <mergeCell ref="A27:D27"/>
    <mergeCell ref="A18:D18"/>
    <mergeCell ref="A19:D19"/>
    <mergeCell ref="A20:J20"/>
    <mergeCell ref="A21:D21"/>
    <mergeCell ref="A22:D22"/>
    <mergeCell ref="A13:J13"/>
    <mergeCell ref="A14:D14"/>
    <mergeCell ref="A15:J15"/>
    <mergeCell ref="A16:D16"/>
    <mergeCell ref="A17:D17"/>
    <mergeCell ref="A11:D11"/>
    <mergeCell ref="E11:H11"/>
    <mergeCell ref="I11:J11"/>
    <mergeCell ref="A12:D12"/>
    <mergeCell ref="E12:H12"/>
    <mergeCell ref="I12:J12"/>
    <mergeCell ref="B9:C9"/>
    <mergeCell ref="G9:H9"/>
    <mergeCell ref="I9:J9"/>
    <mergeCell ref="B10:C10"/>
    <mergeCell ref="G10:H10"/>
    <mergeCell ref="I10:J10"/>
    <mergeCell ref="A5:J5"/>
    <mergeCell ref="F6:H6"/>
    <mergeCell ref="A8:C8"/>
    <mergeCell ref="D8:E8"/>
    <mergeCell ref="I8:J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59999389629810485"/>
  </sheetPr>
  <dimension ref="A1:J45"/>
  <sheetViews>
    <sheetView tabSelected="1" topLeftCell="A14" workbookViewId="0">
      <selection activeCell="K30" sqref="K30"/>
    </sheetView>
  </sheetViews>
  <sheetFormatPr defaultColWidth="9" defaultRowHeight="15"/>
  <cols>
    <col min="1" max="1" width="10.69921875" customWidth="1"/>
    <col min="2" max="9" width="5.19921875" customWidth="1"/>
    <col min="10" max="10" width="10.69921875" customWidth="1"/>
  </cols>
  <sheetData>
    <row r="1" spans="1:10" ht="24.95" customHeight="1">
      <c r="A1" s="86"/>
      <c r="B1" s="86"/>
      <c r="C1" s="86"/>
      <c r="D1" s="144"/>
      <c r="E1" s="144"/>
      <c r="F1" s="144"/>
      <c r="G1" s="144"/>
      <c r="H1" s="144"/>
      <c r="I1" s="144"/>
      <c r="J1" s="144"/>
    </row>
    <row r="2" spans="1:10" ht="24.95" customHeight="1">
      <c r="A2" s="144"/>
      <c r="B2" s="144"/>
      <c r="C2" s="144"/>
      <c r="D2" s="144"/>
      <c r="E2" s="144"/>
      <c r="F2" s="144"/>
      <c r="G2" s="144"/>
      <c r="H2" s="144"/>
      <c r="I2" s="144"/>
      <c r="J2" s="144"/>
    </row>
    <row r="3" spans="1:10" ht="24.95" customHeight="1">
      <c r="A3" s="144"/>
      <c r="B3" s="144"/>
      <c r="C3" s="144"/>
      <c r="D3" s="144"/>
      <c r="E3" s="144"/>
      <c r="F3" s="144"/>
      <c r="G3" s="144"/>
      <c r="H3" s="144"/>
      <c r="I3" s="144"/>
      <c r="J3" s="144"/>
    </row>
    <row r="4" spans="1:10" ht="24.95" customHeight="1">
      <c r="A4" s="145"/>
      <c r="B4" s="145"/>
      <c r="C4" s="145"/>
      <c r="D4" s="145"/>
      <c r="E4" s="145"/>
      <c r="F4" s="145"/>
      <c r="G4" s="145"/>
      <c r="H4" s="145"/>
      <c r="I4" s="145"/>
      <c r="J4" s="145"/>
    </row>
    <row r="5" spans="1:10" ht="15.75">
      <c r="A5" s="89" t="s">
        <v>0</v>
      </c>
      <c r="B5" s="90"/>
      <c r="C5" s="90"/>
      <c r="D5" s="90"/>
      <c r="E5" s="90"/>
      <c r="F5" s="90"/>
      <c r="G5" s="90"/>
      <c r="H5" s="90"/>
      <c r="I5" s="90"/>
      <c r="J5" s="90"/>
    </row>
    <row r="6" spans="1:10">
      <c r="A6" s="95" t="s">
        <v>1</v>
      </c>
      <c r="B6" s="96"/>
      <c r="C6" s="96"/>
      <c r="D6" s="95" t="s">
        <v>2</v>
      </c>
      <c r="E6" s="96"/>
      <c r="F6" s="91" t="s">
        <v>3</v>
      </c>
      <c r="G6" s="92"/>
      <c r="H6" s="93"/>
      <c r="I6" s="95" t="s">
        <v>4</v>
      </c>
      <c r="J6" s="96"/>
    </row>
    <row r="7" spans="1:10" ht="25.5">
      <c r="A7" s="96"/>
      <c r="B7" s="96"/>
      <c r="C7" s="96"/>
      <c r="D7" s="96"/>
      <c r="E7" s="96"/>
      <c r="F7" s="10" t="s">
        <v>5</v>
      </c>
      <c r="G7" s="9" t="s">
        <v>6</v>
      </c>
      <c r="H7" s="9" t="s">
        <v>7</v>
      </c>
      <c r="I7" s="96"/>
      <c r="J7" s="96"/>
    </row>
    <row r="8" spans="1:10">
      <c r="A8" s="94" t="s">
        <v>8</v>
      </c>
      <c r="B8" s="94"/>
      <c r="C8" s="94"/>
      <c r="D8" s="94" t="s">
        <v>9</v>
      </c>
      <c r="E8" s="94"/>
      <c r="F8" s="11"/>
      <c r="G8" s="12"/>
      <c r="H8" s="12"/>
      <c r="I8" s="94" t="s">
        <v>10</v>
      </c>
      <c r="J8" s="94"/>
    </row>
    <row r="9" spans="1:10">
      <c r="A9" s="9" t="s">
        <v>11</v>
      </c>
      <c r="B9" s="95" t="s">
        <v>12</v>
      </c>
      <c r="C9" s="96"/>
      <c r="D9" s="9" t="s">
        <v>13</v>
      </c>
      <c r="E9" s="9" t="s">
        <v>14</v>
      </c>
      <c r="F9" s="48" t="s">
        <v>15</v>
      </c>
      <c r="G9" s="95" t="s">
        <v>16</v>
      </c>
      <c r="H9" s="96"/>
      <c r="I9" s="95" t="s">
        <v>17</v>
      </c>
      <c r="J9" s="96"/>
    </row>
    <row r="10" spans="1:10">
      <c r="A10" s="14">
        <v>46164</v>
      </c>
      <c r="B10" s="94"/>
      <c r="C10" s="94"/>
      <c r="D10" s="15">
        <v>130</v>
      </c>
      <c r="E10" s="16"/>
      <c r="F10" s="16"/>
      <c r="G10" s="94"/>
      <c r="H10" s="94"/>
      <c r="I10" s="94"/>
      <c r="J10" s="94"/>
    </row>
    <row r="11" spans="1:10">
      <c r="A11" s="97" t="s">
        <v>18</v>
      </c>
      <c r="B11" s="98"/>
      <c r="C11" s="98"/>
      <c r="D11" s="98"/>
      <c r="E11" s="95" t="s">
        <v>19</v>
      </c>
      <c r="F11" s="95"/>
      <c r="G11" s="96"/>
      <c r="H11" s="96"/>
      <c r="I11" s="95" t="s">
        <v>20</v>
      </c>
      <c r="J11" s="96"/>
    </row>
    <row r="12" spans="1:10">
      <c r="A12" s="99" t="s">
        <v>21</v>
      </c>
      <c r="B12" s="99"/>
      <c r="C12" s="99"/>
      <c r="D12" s="99"/>
      <c r="E12" s="100"/>
      <c r="F12" s="100"/>
      <c r="G12" s="94"/>
      <c r="H12" s="94"/>
      <c r="I12" s="99"/>
      <c r="J12" s="99"/>
    </row>
    <row r="13" spans="1:10" ht="15.75">
      <c r="A13" s="89" t="s">
        <v>123</v>
      </c>
      <c r="B13" s="90"/>
      <c r="C13" s="90"/>
      <c r="D13" s="90"/>
      <c r="E13" s="90"/>
      <c r="F13" s="90"/>
      <c r="G13" s="90"/>
      <c r="H13" s="90"/>
      <c r="I13" s="90"/>
      <c r="J13" s="90"/>
    </row>
    <row r="14" spans="1:10" ht="24.95" customHeight="1">
      <c r="A14" s="118" t="s">
        <v>124</v>
      </c>
      <c r="B14" s="111"/>
      <c r="C14" s="111"/>
      <c r="D14" s="112"/>
      <c r="E14" s="49">
        <v>28</v>
      </c>
      <c r="F14" s="50">
        <f>E14*H14/$D$10</f>
        <v>15.076923076923077</v>
      </c>
      <c r="G14" s="50">
        <v>70</v>
      </c>
      <c r="H14" s="49">
        <v>70</v>
      </c>
      <c r="I14" s="1">
        <f>H14*G14</f>
        <v>4900</v>
      </c>
      <c r="J14" s="51"/>
    </row>
    <row r="15" spans="1:10" s="47" customFormat="1" ht="24.95" customHeight="1">
      <c r="A15" s="118" t="s">
        <v>125</v>
      </c>
      <c r="B15" s="111"/>
      <c r="C15" s="111"/>
      <c r="D15" s="112"/>
      <c r="E15" s="49">
        <v>22</v>
      </c>
      <c r="F15" s="50">
        <f>E15*H15/$D$10</f>
        <v>11.846153846153847</v>
      </c>
      <c r="G15" s="50">
        <v>60</v>
      </c>
      <c r="H15" s="49">
        <v>70</v>
      </c>
      <c r="I15" s="1">
        <f t="shared" ref="I15:I16" si="0">H15*G15</f>
        <v>4200</v>
      </c>
      <c r="J15" s="51"/>
    </row>
    <row r="16" spans="1:10" ht="24.95" customHeight="1">
      <c r="A16" s="118" t="s">
        <v>126</v>
      </c>
      <c r="B16" s="111"/>
      <c r="C16" s="111"/>
      <c r="D16" s="112"/>
      <c r="E16" s="49">
        <v>19</v>
      </c>
      <c r="F16" s="50">
        <f>E16*H16/$D$10</f>
        <v>10.23076923076923</v>
      </c>
      <c r="G16" s="50">
        <v>110</v>
      </c>
      <c r="H16" s="49">
        <v>70</v>
      </c>
      <c r="I16" s="1">
        <f t="shared" si="0"/>
        <v>7700</v>
      </c>
      <c r="J16" s="51"/>
    </row>
    <row r="17" spans="1:10" ht="15.75">
      <c r="A17" s="89" t="s">
        <v>64</v>
      </c>
      <c r="B17" s="90"/>
      <c r="C17" s="90"/>
      <c r="D17" s="90"/>
      <c r="E17" s="90"/>
      <c r="F17" s="90"/>
      <c r="G17" s="90"/>
      <c r="H17" s="90"/>
      <c r="I17" s="90"/>
      <c r="J17" s="90"/>
    </row>
    <row r="18" spans="1:10" ht="24.95" customHeight="1">
      <c r="A18" s="95" t="s">
        <v>23</v>
      </c>
      <c r="B18" s="96"/>
      <c r="C18" s="96"/>
      <c r="D18" s="96"/>
      <c r="E18" s="9" t="s">
        <v>24</v>
      </c>
      <c r="F18" s="9" t="s">
        <v>25</v>
      </c>
      <c r="G18" s="9" t="s">
        <v>26</v>
      </c>
      <c r="H18" s="9" t="s">
        <v>27</v>
      </c>
      <c r="I18" s="9" t="s">
        <v>28</v>
      </c>
      <c r="J18" s="9"/>
    </row>
    <row r="19" spans="1:10" ht="24.95" customHeight="1">
      <c r="A19" s="115" t="s">
        <v>95</v>
      </c>
      <c r="B19" s="116"/>
      <c r="C19" s="116"/>
      <c r="D19" s="117"/>
      <c r="E19" s="52">
        <v>15</v>
      </c>
      <c r="F19" s="2">
        <f t="shared" ref="F19" si="1">E19*H19/$D$10</f>
        <v>6.3461538461538458</v>
      </c>
      <c r="G19" s="6">
        <v>80</v>
      </c>
      <c r="H19" s="1">
        <v>55</v>
      </c>
      <c r="I19" s="1">
        <f t="shared" ref="I19" si="2">H19*G19</f>
        <v>4400</v>
      </c>
      <c r="J19" s="54"/>
    </row>
    <row r="20" spans="1:10">
      <c r="A20" s="104"/>
      <c r="B20" s="105"/>
      <c r="C20" s="105"/>
      <c r="D20" s="105"/>
      <c r="E20" s="105"/>
      <c r="F20" s="105"/>
      <c r="G20" s="105"/>
      <c r="H20" s="105"/>
      <c r="I20" s="105"/>
      <c r="J20" s="106"/>
    </row>
    <row r="21" spans="1:10" ht="15" customHeight="1">
      <c r="A21" s="114" t="s">
        <v>88</v>
      </c>
      <c r="B21" s="114" t="s">
        <v>40</v>
      </c>
      <c r="C21" s="114" t="s">
        <v>40</v>
      </c>
      <c r="D21" s="114" t="s">
        <v>40</v>
      </c>
      <c r="E21" s="55">
        <v>50</v>
      </c>
      <c r="F21" s="2">
        <f>E21*H21/$D$10</f>
        <v>23.076923076923077</v>
      </c>
      <c r="G21" s="6">
        <v>60</v>
      </c>
      <c r="H21" s="2">
        <v>60</v>
      </c>
      <c r="I21" s="1">
        <f>H21*G21</f>
        <v>3600</v>
      </c>
      <c r="J21" s="54"/>
    </row>
    <row r="22" spans="1:10" ht="15" customHeight="1">
      <c r="A22" s="114" t="s">
        <v>116</v>
      </c>
      <c r="B22" s="114" t="s">
        <v>40</v>
      </c>
      <c r="C22" s="114" t="s">
        <v>40</v>
      </c>
      <c r="D22" s="114" t="s">
        <v>40</v>
      </c>
      <c r="E22" s="55">
        <v>50</v>
      </c>
      <c r="F22" s="2">
        <f t="shared" ref="F22:F23" si="3">E22*H22/$D$10</f>
        <v>23.076923076923077</v>
      </c>
      <c r="G22" s="6">
        <v>65</v>
      </c>
      <c r="H22" s="2">
        <v>60</v>
      </c>
      <c r="I22" s="1">
        <f>H22*G22</f>
        <v>3900</v>
      </c>
      <c r="J22" s="54"/>
    </row>
    <row r="23" spans="1:10" ht="15" customHeight="1">
      <c r="A23" s="114" t="s">
        <v>41</v>
      </c>
      <c r="B23" s="114" t="s">
        <v>40</v>
      </c>
      <c r="C23" s="114" t="s">
        <v>40</v>
      </c>
      <c r="D23" s="114" t="s">
        <v>40</v>
      </c>
      <c r="E23" s="55">
        <v>55</v>
      </c>
      <c r="F23" s="2">
        <f t="shared" si="3"/>
        <v>25.384615384615383</v>
      </c>
      <c r="G23" s="6">
        <v>90</v>
      </c>
      <c r="H23" s="2">
        <v>60</v>
      </c>
      <c r="I23" s="1">
        <f>H23*G23</f>
        <v>5400</v>
      </c>
      <c r="J23" s="54"/>
    </row>
    <row r="24" spans="1:10" ht="15.75" customHeight="1">
      <c r="A24" s="101" t="s">
        <v>68</v>
      </c>
      <c r="B24" s="102"/>
      <c r="C24" s="102"/>
      <c r="D24" s="102"/>
      <c r="E24" s="102"/>
      <c r="F24" s="102"/>
      <c r="G24" s="102"/>
      <c r="H24" s="102"/>
      <c r="I24" s="102"/>
      <c r="J24" s="103"/>
    </row>
    <row r="25" spans="1:10" ht="24.95" customHeight="1">
      <c r="A25" s="95" t="s">
        <v>23</v>
      </c>
      <c r="B25" s="96"/>
      <c r="C25" s="96"/>
      <c r="D25" s="96"/>
      <c r="E25" s="9" t="s">
        <v>24</v>
      </c>
      <c r="F25" s="9" t="s">
        <v>25</v>
      </c>
      <c r="G25" s="9" t="s">
        <v>26</v>
      </c>
      <c r="H25" s="9" t="s">
        <v>27</v>
      </c>
      <c r="I25" s="9" t="s">
        <v>28</v>
      </c>
      <c r="J25" s="9"/>
    </row>
    <row r="26" spans="1:10">
      <c r="A26" s="104" t="s">
        <v>29</v>
      </c>
      <c r="B26" s="105"/>
      <c r="C26" s="105"/>
      <c r="D26" s="105"/>
      <c r="E26" s="105"/>
      <c r="F26" s="105"/>
      <c r="G26" s="105"/>
      <c r="H26" s="105"/>
      <c r="I26" s="105"/>
      <c r="J26" s="106"/>
    </row>
    <row r="27" spans="1:10">
      <c r="A27" s="141" t="s">
        <v>99</v>
      </c>
      <c r="B27" s="141"/>
      <c r="C27" s="141"/>
      <c r="D27" s="141"/>
      <c r="E27" s="5">
        <v>30</v>
      </c>
      <c r="F27" s="2">
        <f>E27*H27/$D$10</f>
        <v>13.846153846153847</v>
      </c>
      <c r="G27" s="6">
        <v>30</v>
      </c>
      <c r="H27" s="5">
        <v>60</v>
      </c>
      <c r="I27" s="2">
        <f>H27*G27</f>
        <v>1800</v>
      </c>
      <c r="J27" s="56"/>
    </row>
    <row r="28" spans="1:10">
      <c r="A28" s="141" t="s">
        <v>70</v>
      </c>
      <c r="B28" s="142"/>
      <c r="C28" s="142"/>
      <c r="D28" s="142"/>
      <c r="E28" s="5">
        <v>30</v>
      </c>
      <c r="F28" s="2">
        <f t="shared" ref="F28:F29" si="4">E28*H28/$D$10</f>
        <v>13.846153846153847</v>
      </c>
      <c r="G28" s="6">
        <v>30</v>
      </c>
      <c r="H28" s="5">
        <v>60</v>
      </c>
      <c r="I28" s="2">
        <f>H28*G28</f>
        <v>1800</v>
      </c>
      <c r="J28" s="56"/>
    </row>
    <row r="29" spans="1:10">
      <c r="A29" s="138" t="s">
        <v>100</v>
      </c>
      <c r="B29" s="139"/>
      <c r="C29" s="139"/>
      <c r="D29" s="140"/>
      <c r="E29" s="5">
        <v>30</v>
      </c>
      <c r="F29" s="2">
        <f t="shared" si="4"/>
        <v>13.846153846153847</v>
      </c>
      <c r="G29" s="6">
        <v>30</v>
      </c>
      <c r="H29" s="5">
        <v>60</v>
      </c>
      <c r="I29" s="2">
        <f>H29*G29</f>
        <v>1800</v>
      </c>
      <c r="J29" s="56"/>
    </row>
    <row r="30" spans="1:10">
      <c r="A30" s="104" t="s">
        <v>74</v>
      </c>
      <c r="B30" s="105"/>
      <c r="C30" s="105"/>
      <c r="D30" s="105"/>
      <c r="E30" s="105"/>
      <c r="F30" s="105"/>
      <c r="G30" s="105"/>
      <c r="H30" s="105"/>
      <c r="I30" s="105"/>
      <c r="J30" s="106"/>
    </row>
    <row r="31" spans="1:10">
      <c r="A31" s="143" t="s">
        <v>75</v>
      </c>
      <c r="B31" s="143"/>
      <c r="C31" s="143"/>
      <c r="D31" s="143"/>
      <c r="E31" s="2">
        <v>100</v>
      </c>
      <c r="F31" s="2">
        <f>H31*E31/D10</f>
        <v>30.76923076923077</v>
      </c>
      <c r="G31" s="2">
        <v>90</v>
      </c>
      <c r="H31" s="2">
        <v>40</v>
      </c>
      <c r="I31" s="2">
        <f>H31*G31</f>
        <v>3600</v>
      </c>
      <c r="J31" s="56"/>
    </row>
    <row r="32" spans="1:10">
      <c r="A32" s="118" t="s">
        <v>101</v>
      </c>
      <c r="B32" s="111"/>
      <c r="C32" s="111"/>
      <c r="D32" s="112"/>
      <c r="E32" s="2">
        <v>100</v>
      </c>
      <c r="F32" s="2">
        <f>H31*E32/D10</f>
        <v>30.76923076923077</v>
      </c>
      <c r="G32" s="2">
        <v>200</v>
      </c>
      <c r="H32" s="2">
        <v>50</v>
      </c>
      <c r="I32" s="2">
        <f>H32*G32</f>
        <v>10000</v>
      </c>
      <c r="J32" s="56"/>
    </row>
    <row r="33" spans="1:10">
      <c r="A33" s="107" t="s">
        <v>103</v>
      </c>
      <c r="B33" s="108"/>
      <c r="C33" s="108"/>
      <c r="D33" s="109"/>
      <c r="E33" s="2">
        <v>100</v>
      </c>
      <c r="F33" s="2">
        <f>H33*E33/D10</f>
        <v>38.46153846153846</v>
      </c>
      <c r="G33" s="2">
        <v>55</v>
      </c>
      <c r="H33" s="2">
        <v>50</v>
      </c>
      <c r="I33" s="2">
        <f>H33*G33</f>
        <v>2750</v>
      </c>
      <c r="J33" s="56"/>
    </row>
    <row r="34" spans="1:10">
      <c r="A34" s="107" t="s">
        <v>46</v>
      </c>
      <c r="B34" s="108"/>
      <c r="C34" s="108"/>
      <c r="D34" s="109"/>
      <c r="E34" s="2">
        <v>100</v>
      </c>
      <c r="F34" s="2">
        <f>H34*E34/D10</f>
        <v>38.46153846153846</v>
      </c>
      <c r="G34" s="2">
        <v>180</v>
      </c>
      <c r="H34" s="2">
        <v>50</v>
      </c>
      <c r="I34" s="2">
        <f>H34*G34</f>
        <v>9000</v>
      </c>
      <c r="J34" s="56"/>
    </row>
    <row r="35" spans="1:10">
      <c r="A35" s="167" t="s">
        <v>48</v>
      </c>
      <c r="B35" s="168"/>
      <c r="C35" s="168"/>
      <c r="D35" s="168"/>
      <c r="E35" s="168"/>
      <c r="F35" s="168"/>
      <c r="G35" s="168"/>
      <c r="H35" s="168"/>
      <c r="I35" s="169"/>
      <c r="J35" s="57">
        <f>SUM(I13:I34)</f>
        <v>64850</v>
      </c>
    </row>
    <row r="36" spans="1:10" ht="15" customHeight="1">
      <c r="A36" s="170" t="s">
        <v>49</v>
      </c>
      <c r="B36" s="171"/>
      <c r="C36" s="171"/>
      <c r="D36" s="171"/>
      <c r="E36" s="171"/>
      <c r="F36" s="171"/>
      <c r="G36" s="171"/>
      <c r="H36" s="171"/>
      <c r="I36" s="172"/>
      <c r="J36" s="58">
        <f>SUM(F13:F34)</f>
        <v>295.03846153846155</v>
      </c>
    </row>
    <row r="37" spans="1:10" ht="15.75" customHeight="1">
      <c r="A37" s="101" t="s">
        <v>50</v>
      </c>
      <c r="B37" s="102"/>
      <c r="C37" s="102"/>
      <c r="D37" s="102"/>
      <c r="E37" s="102"/>
      <c r="F37" s="102"/>
      <c r="G37" s="102"/>
      <c r="H37" s="102"/>
      <c r="I37" s="102"/>
      <c r="J37" s="103"/>
    </row>
    <row r="38" spans="1:10" ht="25.5">
      <c r="A38" s="95" t="s">
        <v>23</v>
      </c>
      <c r="B38" s="96"/>
      <c r="C38" s="96"/>
      <c r="D38" s="96"/>
      <c r="E38" s="9" t="s">
        <v>24</v>
      </c>
      <c r="F38" s="9" t="s">
        <v>25</v>
      </c>
      <c r="G38" s="9" t="s">
        <v>26</v>
      </c>
      <c r="H38" s="9" t="s">
        <v>27</v>
      </c>
      <c r="I38" s="9" t="s">
        <v>28</v>
      </c>
      <c r="J38" s="9"/>
    </row>
    <row r="39" spans="1:10">
      <c r="A39" s="118" t="s">
        <v>51</v>
      </c>
      <c r="B39" s="111"/>
      <c r="C39" s="111"/>
      <c r="D39" s="112"/>
      <c r="E39" s="52">
        <v>200</v>
      </c>
      <c r="F39" s="6"/>
      <c r="G39" s="52">
        <v>35</v>
      </c>
      <c r="H39" s="52">
        <v>80</v>
      </c>
      <c r="I39" s="6">
        <f>G39*H39</f>
        <v>2800</v>
      </c>
      <c r="J39" s="50"/>
    </row>
    <row r="40" spans="1:10">
      <c r="A40" s="123" t="s">
        <v>52</v>
      </c>
      <c r="B40" s="124"/>
      <c r="C40" s="124"/>
      <c r="D40" s="124"/>
      <c r="E40" s="59" t="s">
        <v>53</v>
      </c>
      <c r="F40" s="6"/>
      <c r="G40" s="59">
        <v>100</v>
      </c>
      <c r="H40" s="60">
        <v>80</v>
      </c>
      <c r="I40" s="6">
        <f>G40*H40</f>
        <v>8000</v>
      </c>
      <c r="J40" s="50"/>
    </row>
    <row r="41" spans="1:10">
      <c r="A41" s="123" t="s">
        <v>54</v>
      </c>
      <c r="B41" s="123"/>
      <c r="C41" s="123"/>
      <c r="D41" s="123"/>
      <c r="E41" s="59">
        <v>10</v>
      </c>
      <c r="F41" s="6"/>
      <c r="G41" s="59">
        <v>20</v>
      </c>
      <c r="H41" s="60">
        <v>80</v>
      </c>
      <c r="I41" s="6">
        <f>G41*H41</f>
        <v>1600</v>
      </c>
      <c r="J41" s="50"/>
    </row>
    <row r="42" spans="1:10">
      <c r="A42" s="125" t="s">
        <v>55</v>
      </c>
      <c r="B42" s="126"/>
      <c r="C42" s="126"/>
      <c r="D42" s="126"/>
      <c r="E42" s="126"/>
      <c r="F42" s="126"/>
      <c r="G42" s="126"/>
      <c r="H42" s="126"/>
      <c r="I42" s="127"/>
      <c r="J42" s="24">
        <f>SUM(I39:I41)</f>
        <v>12400</v>
      </c>
    </row>
    <row r="43" spans="1:10" ht="15" customHeight="1">
      <c r="A43" s="125" t="s">
        <v>56</v>
      </c>
      <c r="B43" s="126"/>
      <c r="C43" s="126"/>
      <c r="D43" s="126"/>
      <c r="E43" s="126"/>
      <c r="F43" s="126"/>
      <c r="G43" s="126"/>
      <c r="H43" s="126"/>
      <c r="I43" s="127"/>
      <c r="J43" s="24">
        <v>11650</v>
      </c>
    </row>
    <row r="44" spans="1:10" ht="15.75" customHeight="1">
      <c r="A44" s="173" t="s">
        <v>57</v>
      </c>
      <c r="B44" s="174"/>
      <c r="C44" s="174"/>
      <c r="D44" s="174"/>
      <c r="E44" s="174"/>
      <c r="F44" s="174"/>
      <c r="G44" s="174"/>
      <c r="H44" s="174"/>
      <c r="I44" s="175"/>
      <c r="J44" s="61">
        <f>J35+J42+J43</f>
        <v>88900</v>
      </c>
    </row>
    <row r="45" spans="1:10" ht="15" customHeight="1">
      <c r="A45" s="170" t="s">
        <v>58</v>
      </c>
      <c r="B45" s="171"/>
      <c r="C45" s="171"/>
      <c r="D45" s="171"/>
      <c r="E45" s="171"/>
      <c r="F45" s="171"/>
      <c r="G45" s="171"/>
      <c r="H45" s="171"/>
      <c r="I45" s="172"/>
      <c r="J45" s="62">
        <f>J44/$D$10</f>
        <v>683.84615384615381</v>
      </c>
    </row>
  </sheetData>
  <mergeCells count="54">
    <mergeCell ref="A1:J4"/>
    <mergeCell ref="A6:C7"/>
    <mergeCell ref="D6:E7"/>
    <mergeCell ref="I6:J7"/>
    <mergeCell ref="A41:D41"/>
    <mergeCell ref="A42:I42"/>
    <mergeCell ref="A43:I43"/>
    <mergeCell ref="A44:I44"/>
    <mergeCell ref="A45:I45"/>
    <mergeCell ref="A36:I36"/>
    <mergeCell ref="A37:J37"/>
    <mergeCell ref="A38:D38"/>
    <mergeCell ref="A39:D39"/>
    <mergeCell ref="A40:D40"/>
    <mergeCell ref="A31:D31"/>
    <mergeCell ref="A32:D32"/>
    <mergeCell ref="A33:D33"/>
    <mergeCell ref="A34:D34"/>
    <mergeCell ref="A35:I35"/>
    <mergeCell ref="A26:J26"/>
    <mergeCell ref="A27:D27"/>
    <mergeCell ref="A28:D28"/>
    <mergeCell ref="A29:D29"/>
    <mergeCell ref="A30:J30"/>
    <mergeCell ref="A21:D21"/>
    <mergeCell ref="A22:D22"/>
    <mergeCell ref="A23:D23"/>
    <mergeCell ref="A24:J24"/>
    <mergeCell ref="A25:D25"/>
    <mergeCell ref="A18:D18"/>
    <mergeCell ref="A19:D19"/>
    <mergeCell ref="A20:J20"/>
    <mergeCell ref="A13:J13"/>
    <mergeCell ref="A14:D14"/>
    <mergeCell ref="A15:D15"/>
    <mergeCell ref="A16:D16"/>
    <mergeCell ref="A17:J17"/>
    <mergeCell ref="A11:D11"/>
    <mergeCell ref="E11:H11"/>
    <mergeCell ref="I11:J11"/>
    <mergeCell ref="A12:D12"/>
    <mergeCell ref="E12:H12"/>
    <mergeCell ref="I12:J12"/>
    <mergeCell ref="B9:C9"/>
    <mergeCell ref="G9:H9"/>
    <mergeCell ref="I9:J9"/>
    <mergeCell ref="B10:C10"/>
    <mergeCell ref="G10:H10"/>
    <mergeCell ref="I10:J10"/>
    <mergeCell ref="A5:J5"/>
    <mergeCell ref="F6:H6"/>
    <mergeCell ref="A8:C8"/>
    <mergeCell ref="D8:E8"/>
    <mergeCell ref="I8:J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1:F14"/>
  <sheetViews>
    <sheetView topLeftCell="A4" workbookViewId="0">
      <selection activeCell="E15" sqref="E15"/>
    </sheetView>
  </sheetViews>
  <sheetFormatPr defaultColWidth="9" defaultRowHeight="15"/>
  <cols>
    <col min="5" max="5" width="16.69921875" customWidth="1"/>
    <col min="6" max="6" width="23.296875" customWidth="1"/>
  </cols>
  <sheetData>
    <row r="1" spans="1:6" ht="24.95" customHeight="1">
      <c r="A1" s="161"/>
      <c r="B1" s="161"/>
      <c r="C1" s="161"/>
      <c r="D1" s="161"/>
      <c r="E1" s="161"/>
      <c r="F1" s="161"/>
    </row>
    <row r="2" spans="1:6" ht="24.95" customHeight="1">
      <c r="A2" s="161"/>
      <c r="B2" s="161"/>
      <c r="C2" s="161"/>
      <c r="D2" s="161"/>
      <c r="E2" s="161"/>
      <c r="F2" s="161"/>
    </row>
    <row r="3" spans="1:6" ht="24.95" customHeight="1">
      <c r="A3" s="161"/>
      <c r="B3" s="161"/>
      <c r="C3" s="161"/>
      <c r="D3" s="161"/>
      <c r="E3" s="161"/>
      <c r="F3" s="161"/>
    </row>
    <row r="4" spans="1:6" ht="24.95" customHeight="1">
      <c r="A4" s="186"/>
      <c r="B4" s="186"/>
      <c r="C4" s="186"/>
      <c r="D4" s="186"/>
      <c r="E4" s="186"/>
      <c r="F4" s="186"/>
    </row>
    <row r="5" spans="1:6" ht="25.5">
      <c r="A5" s="25" t="s">
        <v>127</v>
      </c>
      <c r="B5" s="26"/>
      <c r="C5" s="27" t="s">
        <v>128</v>
      </c>
      <c r="D5" s="28" t="s">
        <v>129</v>
      </c>
      <c r="E5" s="29" t="s">
        <v>128</v>
      </c>
      <c r="F5" s="30" t="s">
        <v>130</v>
      </c>
    </row>
    <row r="6" spans="1:6">
      <c r="A6" s="176" t="s">
        <v>131</v>
      </c>
      <c r="B6" s="177"/>
      <c r="C6" s="31">
        <f>'Кофе Брейк полдник 19.05'!J46</f>
        <v>112800</v>
      </c>
      <c r="D6" s="32">
        <f>'Велком 19.05'!J42</f>
        <v>98200</v>
      </c>
      <c r="E6" s="33">
        <f>'Кофе Брейк обед 19.05'!J45</f>
        <v>97800</v>
      </c>
      <c r="F6" s="34">
        <f>E6+D6+C6</f>
        <v>308800</v>
      </c>
    </row>
    <row r="7" spans="1:6">
      <c r="A7" s="178" t="s">
        <v>132</v>
      </c>
      <c r="B7" s="179"/>
      <c r="C7" s="35"/>
      <c r="D7" s="36">
        <f>'Велком 20.05'!J42</f>
        <v>94750</v>
      </c>
      <c r="E7" s="37">
        <f>'Кофе Брейк обед 20.05'!J44</f>
        <v>117050</v>
      </c>
      <c r="F7" s="38">
        <f>E7+D7</f>
        <v>211800</v>
      </c>
    </row>
    <row r="8" spans="1:6">
      <c r="A8" s="178" t="s">
        <v>133</v>
      </c>
      <c r="B8" s="179"/>
      <c r="C8" s="35"/>
      <c r="D8" s="36">
        <f>'Велком 21.05'!J46</f>
        <v>110550</v>
      </c>
      <c r="E8" s="37">
        <f>'Кофе Брейк Обед 21.05'!J45</f>
        <v>91550</v>
      </c>
      <c r="F8" s="38">
        <f>E8+D8</f>
        <v>202100</v>
      </c>
    </row>
    <row r="9" spans="1:6">
      <c r="A9" s="180" t="s">
        <v>134</v>
      </c>
      <c r="B9" s="181"/>
      <c r="C9" s="39"/>
      <c r="D9" s="36">
        <f>'Велком 22.05'!J43</f>
        <v>93400</v>
      </c>
      <c r="E9" s="37">
        <f>'Кофе Брейк 22.05'!J44</f>
        <v>88900</v>
      </c>
      <c r="F9" s="38">
        <f>E9+D9</f>
        <v>182300</v>
      </c>
    </row>
    <row r="10" spans="1:6">
      <c r="A10" s="40"/>
      <c r="B10" s="41"/>
      <c r="C10" s="42"/>
      <c r="D10" s="36"/>
      <c r="E10" s="37"/>
      <c r="F10" s="43"/>
    </row>
    <row r="11" spans="1:6">
      <c r="A11" s="182" t="s">
        <v>135</v>
      </c>
      <c r="B11" s="183"/>
      <c r="C11" s="184"/>
      <c r="D11" s="183"/>
      <c r="E11" s="185"/>
      <c r="F11" s="44">
        <f>SUM(F6:F10)</f>
        <v>905000</v>
      </c>
    </row>
    <row r="14" spans="1:6" ht="43.15" customHeight="1">
      <c r="E14" s="45">
        <f>F11</f>
        <v>905000</v>
      </c>
      <c r="F14" s="46"/>
    </row>
  </sheetData>
  <mergeCells count="6">
    <mergeCell ref="A1:F4"/>
    <mergeCell ref="A6:B6"/>
    <mergeCell ref="A7:B7"/>
    <mergeCell ref="A8:B8"/>
    <mergeCell ref="A9:B9"/>
    <mergeCell ref="A11:E11"/>
  </mergeCells>
  <pageMargins left="0.7" right="0.7" top="0.75" bottom="0.75" header="0.3" footer="0.3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J24"/>
  <sheetViews>
    <sheetView topLeftCell="A10" workbookViewId="0">
      <selection activeCell="C19" sqref="C19:G24"/>
    </sheetView>
  </sheetViews>
  <sheetFormatPr defaultColWidth="8.796875" defaultRowHeight="15"/>
  <cols>
    <col min="5" max="5" width="10.69921875" customWidth="1"/>
  </cols>
  <sheetData>
    <row r="1" spans="1:10" ht="15.75">
      <c r="A1" s="89" t="s">
        <v>136</v>
      </c>
      <c r="B1" s="90"/>
      <c r="C1" s="90"/>
      <c r="D1" s="90"/>
      <c r="E1" s="90"/>
      <c r="F1" s="90"/>
      <c r="G1" s="90"/>
      <c r="H1" s="90"/>
      <c r="I1" s="90"/>
      <c r="J1" s="90"/>
    </row>
    <row r="2" spans="1:10">
      <c r="A2" s="95" t="s">
        <v>1</v>
      </c>
      <c r="B2" s="96"/>
      <c r="C2" s="96"/>
      <c r="D2" s="95" t="s">
        <v>2</v>
      </c>
      <c r="E2" s="96"/>
      <c r="F2" s="91" t="s">
        <v>3</v>
      </c>
      <c r="G2" s="92"/>
      <c r="H2" s="93"/>
      <c r="I2" s="95" t="s">
        <v>4</v>
      </c>
      <c r="J2" s="96"/>
    </row>
    <row r="3" spans="1:10">
      <c r="A3" s="96"/>
      <c r="B3" s="96"/>
      <c r="C3" s="96"/>
      <c r="D3" s="96"/>
      <c r="E3" s="96"/>
      <c r="F3" s="10" t="s">
        <v>5</v>
      </c>
      <c r="G3" s="9" t="s">
        <v>6</v>
      </c>
      <c r="H3" s="9" t="s">
        <v>7</v>
      </c>
      <c r="I3" s="96"/>
      <c r="J3" s="96"/>
    </row>
    <row r="4" spans="1:10">
      <c r="A4" s="94" t="s">
        <v>137</v>
      </c>
      <c r="B4" s="94"/>
      <c r="C4" s="94"/>
      <c r="D4" s="94" t="s">
        <v>128</v>
      </c>
      <c r="E4" s="94"/>
      <c r="F4" s="11"/>
      <c r="G4" s="12"/>
      <c r="H4" s="12"/>
      <c r="I4" s="94" t="s">
        <v>138</v>
      </c>
      <c r="J4" s="94"/>
    </row>
    <row r="5" spans="1:10" ht="25.5">
      <c r="A5" s="9" t="s">
        <v>11</v>
      </c>
      <c r="B5" s="95" t="s">
        <v>12</v>
      </c>
      <c r="C5" s="96"/>
      <c r="D5" s="9" t="s">
        <v>13</v>
      </c>
      <c r="E5" s="9" t="s">
        <v>14</v>
      </c>
      <c r="F5" s="13" t="s">
        <v>139</v>
      </c>
      <c r="G5" s="95" t="s">
        <v>16</v>
      </c>
      <c r="H5" s="96"/>
      <c r="I5" s="95" t="s">
        <v>17</v>
      </c>
      <c r="J5" s="96"/>
    </row>
    <row r="6" spans="1:10">
      <c r="A6" s="14">
        <v>46161</v>
      </c>
      <c r="B6" s="94"/>
      <c r="C6" s="94"/>
      <c r="D6" s="15">
        <v>130</v>
      </c>
      <c r="E6" s="16"/>
      <c r="F6" s="16"/>
      <c r="G6" s="94"/>
      <c r="H6" s="94"/>
      <c r="I6" s="94"/>
      <c r="J6" s="94"/>
    </row>
    <row r="7" spans="1:10">
      <c r="A7" s="97" t="s">
        <v>18</v>
      </c>
      <c r="B7" s="98"/>
      <c r="C7" s="98"/>
      <c r="D7" s="98"/>
      <c r="E7" s="95" t="s">
        <v>19</v>
      </c>
      <c r="F7" s="95"/>
      <c r="G7" s="96"/>
      <c r="H7" s="96"/>
      <c r="I7" s="95" t="s">
        <v>20</v>
      </c>
      <c r="J7" s="96"/>
    </row>
    <row r="8" spans="1:10">
      <c r="A8" s="99"/>
      <c r="B8" s="99"/>
      <c r="C8" s="99"/>
      <c r="D8" s="99"/>
      <c r="E8" s="100"/>
      <c r="F8" s="100"/>
      <c r="G8" s="94"/>
      <c r="H8" s="94"/>
      <c r="I8" s="99"/>
      <c r="J8" s="99"/>
    </row>
    <row r="9" spans="1:10" ht="15.75">
      <c r="A9" s="101" t="s">
        <v>140</v>
      </c>
      <c r="B9" s="102"/>
      <c r="C9" s="102"/>
      <c r="D9" s="102"/>
      <c r="E9" s="102"/>
      <c r="F9" s="102"/>
      <c r="G9" s="102"/>
      <c r="H9" s="102"/>
      <c r="I9" s="102"/>
      <c r="J9" s="103"/>
    </row>
    <row r="10" spans="1:10">
      <c r="A10" s="95" t="s">
        <v>23</v>
      </c>
      <c r="B10" s="96"/>
      <c r="C10" s="96"/>
      <c r="D10" s="96"/>
      <c r="E10" s="13" t="s">
        <v>141</v>
      </c>
      <c r="F10" s="9" t="s">
        <v>27</v>
      </c>
      <c r="G10" s="9" t="s">
        <v>142</v>
      </c>
      <c r="H10" s="9" t="s">
        <v>28</v>
      </c>
      <c r="I10" s="95"/>
      <c r="J10" s="95"/>
    </row>
    <row r="11" spans="1:10">
      <c r="A11" s="107" t="s">
        <v>143</v>
      </c>
      <c r="B11" s="108"/>
      <c r="C11" s="108"/>
      <c r="D11" s="109"/>
      <c r="E11" s="1">
        <v>1</v>
      </c>
      <c r="F11" s="2">
        <v>2</v>
      </c>
      <c r="G11" s="2">
        <v>700</v>
      </c>
      <c r="H11" s="2">
        <f>F11*E11*G11</f>
        <v>1400</v>
      </c>
      <c r="I11" s="187"/>
      <c r="J11" s="187"/>
    </row>
    <row r="12" spans="1:10">
      <c r="A12" s="107" t="s">
        <v>144</v>
      </c>
      <c r="B12" s="108"/>
      <c r="C12" s="108"/>
      <c r="D12" s="109"/>
      <c r="E12" s="1"/>
      <c r="F12" s="2">
        <v>3</v>
      </c>
      <c r="G12" s="1">
        <v>1200</v>
      </c>
      <c r="H12" s="2">
        <f>G12*F12</f>
        <v>3600</v>
      </c>
      <c r="I12" s="187"/>
      <c r="J12" s="187"/>
    </row>
    <row r="13" spans="1:10">
      <c r="A13" s="107" t="s">
        <v>145</v>
      </c>
      <c r="B13" s="108"/>
      <c r="C13" s="108"/>
      <c r="D13" s="109"/>
      <c r="E13" s="1"/>
      <c r="F13" s="2">
        <v>8</v>
      </c>
      <c r="G13" s="1">
        <v>500</v>
      </c>
      <c r="H13" s="2">
        <f>G13*F13</f>
        <v>4000</v>
      </c>
      <c r="I13" s="188"/>
      <c r="J13" s="188"/>
    </row>
    <row r="14" spans="1:10">
      <c r="A14" s="143" t="s">
        <v>146</v>
      </c>
      <c r="B14" s="189"/>
      <c r="C14" s="189"/>
      <c r="D14" s="189"/>
      <c r="E14" s="1">
        <v>2</v>
      </c>
      <c r="F14" s="2">
        <v>6</v>
      </c>
      <c r="G14" s="1">
        <v>750</v>
      </c>
      <c r="H14" s="2">
        <f>G14*F14*E14</f>
        <v>9000</v>
      </c>
      <c r="I14" s="190"/>
      <c r="J14" s="190"/>
    </row>
    <row r="15" spans="1:10" ht="30" customHeight="1">
      <c r="A15" s="143" t="s">
        <v>147</v>
      </c>
      <c r="B15" s="189"/>
      <c r="C15" s="189"/>
      <c r="D15" s="189"/>
      <c r="E15" s="1"/>
      <c r="F15" s="2">
        <v>260</v>
      </c>
      <c r="G15" s="1">
        <v>20</v>
      </c>
      <c r="H15" s="2">
        <f>G15*F15</f>
        <v>5200</v>
      </c>
      <c r="I15" s="190"/>
      <c r="J15" s="190"/>
    </row>
    <row r="16" spans="1:10">
      <c r="A16" s="18"/>
      <c r="B16" s="19"/>
      <c r="C16" s="19"/>
      <c r="D16" s="19"/>
      <c r="E16" s="20"/>
      <c r="F16" s="21"/>
      <c r="G16" s="22"/>
      <c r="H16" s="22"/>
      <c r="I16" s="23"/>
      <c r="J16" s="24"/>
    </row>
    <row r="17" spans="1:10">
      <c r="A17" s="191"/>
      <c r="B17" s="192"/>
      <c r="C17" s="192"/>
      <c r="D17" s="192"/>
      <c r="E17" s="193"/>
      <c r="F17" s="194" t="s">
        <v>148</v>
      </c>
      <c r="G17" s="195"/>
      <c r="H17" s="195"/>
      <c r="I17" s="196"/>
      <c r="J17" s="24">
        <f>SUM(H11:H15)</f>
        <v>23200</v>
      </c>
    </row>
    <row r="18" spans="1:10">
      <c r="A18" s="191"/>
      <c r="B18" s="192"/>
      <c r="C18" s="192"/>
      <c r="D18" s="192"/>
      <c r="E18" s="192"/>
      <c r="F18" s="193"/>
      <c r="G18" s="197" t="s">
        <v>149</v>
      </c>
      <c r="H18" s="197"/>
      <c r="I18" s="197"/>
      <c r="J18" s="24">
        <f>J17/D6</f>
        <v>178.461538461538</v>
      </c>
    </row>
    <row r="19" spans="1:10">
      <c r="C19" s="198"/>
      <c r="D19" s="198"/>
      <c r="E19" s="198"/>
      <c r="F19" s="198"/>
      <c r="G19" s="198"/>
    </row>
    <row r="20" spans="1:10">
      <c r="C20" s="161"/>
      <c r="D20" s="161"/>
      <c r="E20" s="161"/>
      <c r="F20" s="161"/>
      <c r="G20" s="161"/>
    </row>
    <row r="21" spans="1:10">
      <c r="C21" s="161"/>
      <c r="D21" s="161"/>
      <c r="E21" s="161"/>
      <c r="F21" s="161"/>
      <c r="G21" s="161"/>
    </row>
    <row r="22" spans="1:10">
      <c r="C22" s="161"/>
      <c r="D22" s="161"/>
      <c r="E22" s="161"/>
      <c r="F22" s="161"/>
      <c r="G22" s="161"/>
    </row>
    <row r="23" spans="1:10">
      <c r="C23" s="161"/>
      <c r="D23" s="161"/>
      <c r="E23" s="161"/>
      <c r="F23" s="161"/>
      <c r="G23" s="161"/>
    </row>
    <row r="24" spans="1:10">
      <c r="C24" s="161"/>
      <c r="D24" s="161"/>
      <c r="E24" s="161"/>
      <c r="F24" s="161"/>
      <c r="G24" s="161"/>
    </row>
  </sheetData>
  <mergeCells count="38">
    <mergeCell ref="C19:G24"/>
    <mergeCell ref="A2:C3"/>
    <mergeCell ref="D2:E3"/>
    <mergeCell ref="I2:J3"/>
    <mergeCell ref="A15:D15"/>
    <mergeCell ref="I15:J15"/>
    <mergeCell ref="A17:E17"/>
    <mergeCell ref="F17:I17"/>
    <mergeCell ref="A18:F18"/>
    <mergeCell ref="G18:I18"/>
    <mergeCell ref="A12:D12"/>
    <mergeCell ref="I12:J12"/>
    <mergeCell ref="A13:D13"/>
    <mergeCell ref="I13:J13"/>
    <mergeCell ref="A14:D14"/>
    <mergeCell ref="I14:J14"/>
    <mergeCell ref="A9:J9"/>
    <mergeCell ref="A10:D10"/>
    <mergeCell ref="I10:J10"/>
    <mergeCell ref="A11:D11"/>
    <mergeCell ref="I11:J11"/>
    <mergeCell ref="A7:D7"/>
    <mergeCell ref="E7:H7"/>
    <mergeCell ref="I7:J7"/>
    <mergeCell ref="A8:D8"/>
    <mergeCell ref="E8:H8"/>
    <mergeCell ref="I8:J8"/>
    <mergeCell ref="B5:C5"/>
    <mergeCell ref="G5:H5"/>
    <mergeCell ref="I5:J5"/>
    <mergeCell ref="B6:C6"/>
    <mergeCell ref="G6:H6"/>
    <mergeCell ref="I6:J6"/>
    <mergeCell ref="A1:J1"/>
    <mergeCell ref="F2:H2"/>
    <mergeCell ref="A4:C4"/>
    <mergeCell ref="D4:E4"/>
    <mergeCell ref="I4:J4"/>
  </mergeCell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6" tint="0.79995117038483843"/>
  </sheetPr>
  <dimension ref="A2:I6"/>
  <sheetViews>
    <sheetView workbookViewId="0">
      <selection activeCell="I9" sqref="A1:I9"/>
    </sheetView>
  </sheetViews>
  <sheetFormatPr defaultColWidth="8.796875" defaultRowHeight="15"/>
  <cols>
    <col min="1" max="1" width="10.69921875" customWidth="1"/>
    <col min="2" max="5" width="5.19921875" customWidth="1"/>
    <col min="6" max="6" width="9.765625E-2" customWidth="1"/>
    <col min="7" max="8" width="5.19921875" customWidth="1"/>
    <col min="9" max="9" width="10.69921875" customWidth="1"/>
  </cols>
  <sheetData>
    <row r="2" spans="1:9">
      <c r="A2" s="143" t="s">
        <v>73</v>
      </c>
      <c r="B2" s="143"/>
      <c r="C2" s="143"/>
      <c r="D2" s="143"/>
      <c r="E2" s="1">
        <v>90</v>
      </c>
      <c r="F2" s="2"/>
      <c r="G2" s="1">
        <v>120</v>
      </c>
      <c r="H2" s="3">
        <v>70</v>
      </c>
      <c r="I2" s="4" t="s">
        <v>150</v>
      </c>
    </row>
    <row r="3" spans="1:9">
      <c r="A3" s="143" t="s">
        <v>83</v>
      </c>
      <c r="B3" s="143"/>
      <c r="C3" s="143"/>
      <c r="D3" s="143"/>
      <c r="E3" s="1">
        <v>90</v>
      </c>
      <c r="F3" s="2" t="e">
        <f t="shared" ref="F3:F4" si="0">E3*H3/$D$10</f>
        <v>#DIV/0!</v>
      </c>
      <c r="G3" s="1">
        <v>110</v>
      </c>
      <c r="H3" s="3">
        <v>70</v>
      </c>
      <c r="I3" s="4" t="s">
        <v>150</v>
      </c>
    </row>
    <row r="4" spans="1:9">
      <c r="A4" s="138" t="s">
        <v>85</v>
      </c>
      <c r="B4" s="139"/>
      <c r="C4" s="139"/>
      <c r="D4" s="140"/>
      <c r="E4" s="5">
        <v>100</v>
      </c>
      <c r="F4" s="2" t="e">
        <f t="shared" si="0"/>
        <v>#DIV/0!</v>
      </c>
      <c r="G4" s="6">
        <v>120</v>
      </c>
      <c r="H4" s="7">
        <v>70</v>
      </c>
      <c r="I4" s="8" t="s">
        <v>151</v>
      </c>
    </row>
    <row r="5" spans="1:9">
      <c r="A5" s="143" t="s">
        <v>73</v>
      </c>
      <c r="B5" s="143"/>
      <c r="C5" s="143"/>
      <c r="D5" s="143"/>
      <c r="E5" s="1">
        <v>90</v>
      </c>
      <c r="F5" s="2" t="e">
        <f t="shared" ref="F5:F6" si="1">E5*H5/$D$10</f>
        <v>#DIV/0!</v>
      </c>
      <c r="G5" s="1">
        <v>120</v>
      </c>
      <c r="H5" s="3">
        <v>60</v>
      </c>
      <c r="I5" s="8" t="s">
        <v>152</v>
      </c>
    </row>
    <row r="6" spans="1:9">
      <c r="A6" s="138" t="s">
        <v>85</v>
      </c>
      <c r="B6" s="139"/>
      <c r="C6" s="139"/>
      <c r="D6" s="140"/>
      <c r="E6" s="5">
        <v>100</v>
      </c>
      <c r="F6" s="2" t="e">
        <f t="shared" si="1"/>
        <v>#DIV/0!</v>
      </c>
      <c r="G6" s="6">
        <v>120</v>
      </c>
      <c r="H6" s="7">
        <v>60</v>
      </c>
      <c r="I6" s="8" t="s">
        <v>153</v>
      </c>
    </row>
  </sheetData>
  <mergeCells count="5">
    <mergeCell ref="A2:D2"/>
    <mergeCell ref="A3:D3"/>
    <mergeCell ref="A4:D4"/>
    <mergeCell ref="A5:D5"/>
    <mergeCell ref="A6:D6"/>
  </mergeCells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ColWidth="8.796875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Велком 19.05</vt:lpstr>
      <vt:lpstr>Кофе Брейк обед 19.05</vt:lpstr>
      <vt:lpstr>Кофе Брейк полдник 19.05</vt:lpstr>
      <vt:lpstr>Велком 20.05</vt:lpstr>
      <vt:lpstr>Кофе Брейк обед 20.05</vt:lpstr>
      <vt:lpstr>Велком 21.05</vt:lpstr>
      <vt:lpstr>Кофе Брейк Обед 21.05</vt:lpstr>
      <vt:lpstr>Велком 22.05</vt:lpstr>
      <vt:lpstr>Кофе Брейк 22.05</vt:lpstr>
      <vt:lpstr>СВОДКА</vt:lpstr>
      <vt:lpstr>Услуги</vt:lpstr>
      <vt:lpstr>Заявка Сбер столовая</vt:lpstr>
      <vt:lpstr>Лист14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DirVanil</dc:creator>
  <cp:lastModifiedBy>Лесников Михаил</cp:lastModifiedBy>
  <cp:lastPrinted>2026-05-14T09:20:00Z</cp:lastPrinted>
  <dcterms:created xsi:type="dcterms:W3CDTF">2015-08-21T15:05:00Z</dcterms:created>
  <dcterms:modified xsi:type="dcterms:W3CDTF">2026-05-15T11:25:28Z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3AA58AD02BFC4A52B482ED37DC4B3E0D_12</vt:lpwstr>
  </property>
  <property fmtid="{D5CDD505-2E9C-101B-9397-08002B2CF9AE}" pid="3" name="KSOProductBuildVer">
    <vt:lpwstr>1049-12.1.0.26372</vt:lpwstr>
  </property>
  <property fmtid="{D5CDD505-2E9C-101B-9397-08002B2CF9AE}" pid="4" name="CalculationRule">
    <vt:i4>0</vt:i4>
  </property>
</Properties>
</file>