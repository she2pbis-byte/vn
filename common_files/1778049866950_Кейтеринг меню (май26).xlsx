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"/>
    </mc:Choice>
  </mc:AlternateContent>
  <xr:revisionPtr revIDLastSave="0" documentId="13_ncr:1_{30BBEE76-EB4A-4433-8EE6-6F699BEA28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4" i="1" l="1"/>
  <c r="I104" i="1"/>
  <c r="F104" i="1"/>
  <c r="I157" i="1"/>
  <c r="F157" i="1"/>
  <c r="I96" i="1"/>
  <c r="I97" i="1"/>
  <c r="I98" i="1"/>
  <c r="I99" i="1"/>
  <c r="I100" i="1"/>
  <c r="I101" i="1"/>
  <c r="I102" i="1"/>
  <c r="I103" i="1"/>
  <c r="F96" i="1"/>
  <c r="F97" i="1"/>
  <c r="F98" i="1"/>
  <c r="F99" i="1"/>
  <c r="F100" i="1"/>
  <c r="F101" i="1"/>
  <c r="F102" i="1"/>
  <c r="F103" i="1"/>
  <c r="I317" i="1"/>
  <c r="I316" i="1"/>
  <c r="I315" i="1"/>
  <c r="I314" i="1"/>
  <c r="I313" i="1"/>
  <c r="I312" i="1"/>
  <c r="I311" i="1"/>
  <c r="I310" i="1"/>
  <c r="I305" i="1"/>
  <c r="F305" i="1"/>
  <c r="I304" i="1"/>
  <c r="F304" i="1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8" i="1"/>
  <c r="F268" i="1"/>
  <c r="I267" i="1"/>
  <c r="F267" i="1"/>
  <c r="I266" i="1"/>
  <c r="F266" i="1"/>
  <c r="I265" i="1"/>
  <c r="F265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08" i="1"/>
  <c r="F108" i="1"/>
  <c r="I107" i="1"/>
  <c r="F107" i="1"/>
  <c r="I106" i="1"/>
  <c r="F106" i="1"/>
  <c r="I105" i="1"/>
  <c r="F105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J306" i="1" l="1"/>
  <c r="J318" i="1"/>
  <c r="J307" i="1"/>
  <c r="J319" i="1" l="1"/>
  <c r="J320" i="1" s="1"/>
  <c r="J322" i="1" l="1"/>
  <c r="J323" i="1" s="1"/>
</calcChain>
</file>

<file path=xl/sharedStrings.xml><?xml version="1.0" encoding="utf-8"?>
<sst xmlns="http://schemas.openxmlformats.org/spreadsheetml/2006/main" count="443" uniqueCount="327">
  <si>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</si>
  <si>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</si>
  <si>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</si>
  <si>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</si>
  <si>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</si>
  <si>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</si>
  <si>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</si>
  <si>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</si>
  <si>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</si>
  <si>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</si>
  <si>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</si>
  <si>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</si>
  <si>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</si>
  <si>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</si>
  <si>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</si>
  <si>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</si>
  <si>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</si>
  <si>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Коктейльные закуски</t>
  </si>
  <si>
    <t>Наименование</t>
  </si>
  <si>
    <t>Выход /гр</t>
  </si>
  <si>
    <t>Грамм /чел</t>
  </si>
  <si>
    <t>Цена</t>
  </si>
  <si>
    <t>Кол-во</t>
  </si>
  <si>
    <t>Сумма</t>
  </si>
  <si>
    <t>Канапе с сыром Камамбер и малиной</t>
  </si>
  <si>
    <t>Канапе с сыром Грюйер и голубикой</t>
  </si>
  <si>
    <t>Канапе с сыром Дор Блю и клубникой</t>
  </si>
  <si>
    <t>Канапе из винограда с ананасом</t>
  </si>
  <si>
    <t>Канапе из киви, клубники и ананаса</t>
  </si>
  <si>
    <t>Канапе из клубники с ананасом</t>
  </si>
  <si>
    <t>Канапе со сливочным сыром, пармой и печеной грушей</t>
  </si>
  <si>
    <t>Канапе с ростбифом, свежим огурцом и муссом из тунца</t>
  </si>
  <si>
    <t>Канапе из куриного филе  с беконом и мясным сыром</t>
  </si>
  <si>
    <t xml:space="preserve">Канапе с пармой, муссом из феты и рукколой </t>
  </si>
  <si>
    <t>Канапе с сыром и виноградом на шпажке</t>
  </si>
  <si>
    <t>Канапе из киви, мандарина и ананаса</t>
  </si>
  <si>
    <t>Канапе креветкой и гуакамоле</t>
  </si>
  <si>
    <t>Канапе с креветкой и печеным перцем</t>
  </si>
  <si>
    <t xml:space="preserve">Канапе из моцарелы с вяленым томатом </t>
  </si>
  <si>
    <t xml:space="preserve">Блин розовый с вялеными томатами и сливочным сыром </t>
  </si>
  <si>
    <t xml:space="preserve">Канапе с рулетом из свинины с сыром и вялеными томатами </t>
  </si>
  <si>
    <t>Канапе из куриного рулета с печеным перцем и сыром</t>
  </si>
  <si>
    <t>Канапе с тунцом и творожным сыром</t>
  </si>
  <si>
    <t>Канапе с печеным перцем, сливочным сыром</t>
  </si>
  <si>
    <t>Помидорка Черри с сыром мини Моцарелла на шпажке</t>
  </si>
  <si>
    <t xml:space="preserve">Помидорка Черри с огурцом </t>
  </si>
  <si>
    <t>Помидорка Черри с огурцом и болгарским перцем</t>
  </si>
  <si>
    <t xml:space="preserve">Канапе из сыра Пармезан  с фиником </t>
  </si>
  <si>
    <t xml:space="preserve">Cырная конфета с зернами граната </t>
  </si>
  <si>
    <t>Семга на хлебной палочке с соусом Песто и сыром пармезан</t>
  </si>
  <si>
    <t>Королевская креветка в томатном соусе</t>
  </si>
  <si>
    <t>Сельдь на ржаном  тосте</t>
  </si>
  <si>
    <t>Профитроли с муссом из семги</t>
  </si>
  <si>
    <t xml:space="preserve">Профитроли с паштетом из куриной печени </t>
  </si>
  <si>
    <t>Профитроли с грибным муссом</t>
  </si>
  <si>
    <t>Рулетик из индейки с овощами</t>
  </si>
  <si>
    <t>Паштет из тунца с фисташками на бриоши</t>
  </si>
  <si>
    <t>Паштет из тунца в профитроле с икрой тобико</t>
  </si>
  <si>
    <t>Паштет из тунца на тосте</t>
  </si>
  <si>
    <t>Нежные кусочки курицы под соусом "Карри"</t>
  </si>
  <si>
    <t>Пармский окорок с дыней</t>
  </si>
  <si>
    <t>сезон</t>
  </si>
  <si>
    <t>Рулетик из языка с овощами</t>
  </si>
  <si>
    <t>малое количество</t>
  </si>
  <si>
    <t>Канапе из буженины с соленым огурцом</t>
  </si>
  <si>
    <t>Сало на ржаном тостике</t>
  </si>
  <si>
    <t xml:space="preserve">Ролл из филе сельди </t>
  </si>
  <si>
    <t>Коктейльные десерты</t>
  </si>
  <si>
    <r>
      <rPr>
        <sz val="10"/>
        <color rgb="FF000000"/>
        <rFont val="Calibri"/>
        <family val="2"/>
        <charset val="204"/>
      </rPr>
      <t>Мини-эклеры</t>
    </r>
    <r>
      <rPr>
        <sz val="10"/>
        <color indexed="8"/>
        <rFont val="Calibri"/>
        <family val="2"/>
        <charset val="204"/>
      </rPr>
      <t>/ванильный, кофейный, манго, фисташка-малина, шоколадный, шоколадный с ореховой глазурью</t>
    </r>
  </si>
  <si>
    <t>Мини-пышка с брусникой</t>
  </si>
  <si>
    <r>
      <rPr>
        <sz val="10"/>
        <color rgb="FF000000"/>
        <rFont val="Calibri"/>
        <family val="2"/>
        <charset val="204"/>
      </rPr>
      <t>Мини-пышки</t>
    </r>
    <r>
      <rPr>
        <sz val="10"/>
        <color indexed="8"/>
        <rFont val="Calibri"/>
        <family val="2"/>
        <charset val="204"/>
      </rPr>
      <t xml:space="preserve"> / мясом, яйцом, яблоками</t>
    </r>
  </si>
  <si>
    <t>Десерт "Эстерхази"</t>
  </si>
  <si>
    <t>Десерт "Медовик карамельный"</t>
  </si>
  <si>
    <t>Десерт "Пражский"</t>
  </si>
  <si>
    <t>Десерт "Райская птичка"</t>
  </si>
  <si>
    <t>Корзиночка песочная мини с мандариновым мармеладом</t>
  </si>
  <si>
    <t>Корзиночка песочная мини лимонная</t>
  </si>
  <si>
    <t>Мини-капкейки в ассортименте/Лесная Ягода,Манго, с Сырным кремом/</t>
  </si>
  <si>
    <t>Макрони в ассортименте</t>
  </si>
  <si>
    <t>Трюфель с размарином</t>
  </si>
  <si>
    <t>Фирменный трюфель</t>
  </si>
  <si>
    <t>Ассорти конфет /белый шоколад с горганзолой, молочный шоколад с ореховым пралине, молочный шоколад с яблоком и корицей /</t>
  </si>
  <si>
    <t>Ассорти бон-бон /лимон, мохито, вишня, малина, манго-маракуйя, маракуйя и молочный шоколад/</t>
  </si>
  <si>
    <t xml:space="preserve">Мармелад </t>
  </si>
  <si>
    <t>Безе</t>
  </si>
  <si>
    <t>Фуршетные закуски</t>
  </si>
  <si>
    <t xml:space="preserve">Рулет из лаваша с сыром сулугуни </t>
  </si>
  <si>
    <t>Крем "Цацики" /свежие огурцы с сыром, мятой и брезаоллой/</t>
  </si>
  <si>
    <t xml:space="preserve">Французский салат в сырной корзинке </t>
  </si>
  <si>
    <t xml:space="preserve">Гаспачо из клубники </t>
  </si>
  <si>
    <t xml:space="preserve">Канапе с форелью и перепелиным яйцом </t>
  </si>
  <si>
    <t>Рулетики из семги с сыром Филадельфия</t>
  </si>
  <si>
    <t>Тигровая креветка с муссом из лимона</t>
  </si>
  <si>
    <t>Рафаэлло /Нежный паштет из цыпленка, огурцов и сыра "Рикотта" и "Грана Падано"/</t>
  </si>
  <si>
    <t>Рулет из печени со сливочным сыром и беконом</t>
  </si>
  <si>
    <t>Корзинка из бородинского хдеба с ростбифом</t>
  </si>
  <si>
    <t>только малое количество</t>
  </si>
  <si>
    <t>Сербское мезе /копченый ростбиф с сырным кремом и черносливом/</t>
  </si>
  <si>
    <t>Мясная закуска из ростбифа, телячьего языка и кремом из сыра Филадельфия</t>
  </si>
  <si>
    <t xml:space="preserve">Брускетта с овощами и пармским окороком </t>
  </si>
  <si>
    <t xml:space="preserve">Брускетта с лососем, огурцом и кунжутом </t>
  </si>
  <si>
    <t>Брускетта с креветкой, творожный сыр,томаты,размарин,шпинат</t>
  </si>
  <si>
    <t>Профитроли с муссом из сома и чипсами из копченого сыра</t>
  </si>
  <si>
    <t>Эклер со сливочным сыром и тар-таром из лосося</t>
  </si>
  <si>
    <t>Смореброд с муссом из сома и чипсами из копченого сыра</t>
  </si>
  <si>
    <t>Эклер с куриным муссом и печеным перцем</t>
  </si>
  <si>
    <t>Круассан с лососем и творожным сыром</t>
  </si>
  <si>
    <t>Круассан с ветчиной и творожным</t>
  </si>
  <si>
    <t>Круассан с курицей и сладким соусом Чили</t>
  </si>
  <si>
    <t>Блинчик шпинатный с лососем и сыром "филадельфия"</t>
  </si>
  <si>
    <t>Нарезка</t>
  </si>
  <si>
    <t>Семга с\с</t>
  </si>
  <si>
    <t>Форель слабосолёная</t>
  </si>
  <si>
    <t>Угорь горячего копчения</t>
  </si>
  <si>
    <t>Масляная рыба</t>
  </si>
  <si>
    <t>Сыр "Камамбер"</t>
  </si>
  <si>
    <t>Сыр "Дорблю"</t>
  </si>
  <si>
    <t>Сыр "Маасдам"</t>
  </si>
  <si>
    <t>Сыр "Неро"</t>
  </si>
  <si>
    <t>Сыр козий</t>
  </si>
  <si>
    <t>Сыр "Пармезан"</t>
  </si>
  <si>
    <t>Сыр с голубой плесенью</t>
  </si>
  <si>
    <t>Сыр "Гауда"</t>
  </si>
  <si>
    <t>Сыр "Брилья Саварен"</t>
  </si>
  <si>
    <t>Сыр "Грюйер Патрис Норман"</t>
  </si>
  <si>
    <t>Свиная грудка</t>
  </si>
  <si>
    <t>Язык отварной</t>
  </si>
  <si>
    <t>Индейка копченая</t>
  </si>
  <si>
    <t>Рулет из курицы с беконом и печеным перцем</t>
  </si>
  <si>
    <t>Ветчина куриная</t>
  </si>
  <si>
    <t>Ветчина куриная пряная</t>
  </si>
  <si>
    <t>Рулет из свинины с беконом и шпинатом</t>
  </si>
  <si>
    <t>Рулет из курицы с грибами и сыром</t>
  </si>
  <si>
    <t>Грудинка свиная в луковых перьях</t>
  </si>
  <si>
    <t>Брезаола</t>
  </si>
  <si>
    <t>Парма</t>
  </si>
  <si>
    <t>Утиная грудка Магре</t>
  </si>
  <si>
    <t>Салаты</t>
  </si>
  <si>
    <t xml:space="preserve">Салат "Греческий" </t>
  </si>
  <si>
    <t>Салат "Оливье" с телячьим языком</t>
  </si>
  <si>
    <t>Салат "Оливье По-русски" с раковыми шейками, икрой и пареной тыквой</t>
  </si>
  <si>
    <t>Салат "Винегрет"</t>
  </si>
  <si>
    <t>Салат "Виндерзорф" с сочной телятиной, болгарским перцем, солеными огурчиками и горчичной заправкой. Рекомендуем к водке.</t>
  </si>
  <si>
    <t>Рулет из огурца с салатом из мидий и  вяленых помидорок</t>
  </si>
  <si>
    <t>Салат "Сельдь под шубой"</t>
  </si>
  <si>
    <t>Салат Кейл с томатами, авокадо и сыром "Раклет"</t>
  </si>
  <si>
    <t>Салат с ломтиками тунца в кунжуте, рукколой и помидорками</t>
  </si>
  <si>
    <t>Салат Разсол</t>
  </si>
  <si>
    <t>Салат "Цезарь" от шефа с креветкой</t>
  </si>
  <si>
    <t>Салат "Цезарь" от шефа с курицей</t>
  </si>
  <si>
    <t>Салат с курицей,грибами,луком и яйцом</t>
  </si>
  <si>
    <t>Горячие блюда</t>
  </si>
  <si>
    <t xml:space="preserve">Овощной спринг-ролл </t>
  </si>
  <si>
    <t>Горячий спринг- ролл с тунцом</t>
  </si>
  <si>
    <t>Горячий спринг- ролл с креветкой</t>
  </si>
  <si>
    <t xml:space="preserve">Мини-шашлычок из лосося </t>
  </si>
  <si>
    <t>Филе семги в кунжуте</t>
  </si>
  <si>
    <t>Мини-котлета из щуки</t>
  </si>
  <si>
    <t>Шашлык из сома с болгарским перцем</t>
  </si>
  <si>
    <t xml:space="preserve">Томленая Телятина с картофелем в соусе демиглас </t>
  </si>
  <si>
    <t>Куриная грудка с картофелем и сливочном соусе</t>
  </si>
  <si>
    <t>Мини-шашлычок из цыпленка с болгарским перцем</t>
  </si>
  <si>
    <t>Филе "Монако" /ролл из курицы с сыром, беконом</t>
  </si>
  <si>
    <t xml:space="preserve">Филе куриное со шпинатом </t>
  </si>
  <si>
    <t>Голень куриная в беконе с томатным соусом</t>
  </si>
  <si>
    <t xml:space="preserve">Нежная куриная котлетка </t>
  </si>
  <si>
    <t xml:space="preserve">Мини-котлета по-домашнему </t>
  </si>
  <si>
    <t xml:space="preserve">Классический бефстроганов из телятины с грибами </t>
  </si>
  <si>
    <t xml:space="preserve">Телятина в соусе Демиглас </t>
  </si>
  <si>
    <t>Шницель по-карагеоргиевски, рулет из свинины начиненный сливочным сыром и беконом</t>
  </si>
  <si>
    <t>Шашлык из картофеля с лимоном и орегано</t>
  </si>
  <si>
    <t>Мини-шашлычок из свинины с болг. перцем</t>
  </si>
  <si>
    <t>Мини-шашлычок из овощей</t>
  </si>
  <si>
    <t xml:space="preserve">Мини-люля кебаб из баранины </t>
  </si>
  <si>
    <t>Блинчики с маслом</t>
  </si>
  <si>
    <t xml:space="preserve">Блинчик с творогом </t>
  </si>
  <si>
    <t xml:space="preserve">Блин с яйцом </t>
  </si>
  <si>
    <t>Блинчики с мясом</t>
  </si>
  <si>
    <t>Блинчик с творогом и вишней</t>
  </si>
  <si>
    <t>Блинчик с яблоками и корицей</t>
  </si>
  <si>
    <t>Гарниры</t>
  </si>
  <si>
    <t>Картофель запеченный</t>
  </si>
  <si>
    <t xml:space="preserve">Картофель жареный </t>
  </si>
  <si>
    <t>Картофель беби, запеченый с размарином</t>
  </si>
  <si>
    <t>Кус кус с овощами</t>
  </si>
  <si>
    <t xml:space="preserve">Булгур с овощами </t>
  </si>
  <si>
    <t>Фасоль тушеная с овощами</t>
  </si>
  <si>
    <t>Рататуй</t>
  </si>
  <si>
    <t xml:space="preserve">Овощи гриль </t>
  </si>
  <si>
    <t>Соусы</t>
  </si>
  <si>
    <t>Соус из трав к рыбе</t>
  </si>
  <si>
    <t>Соус Тар-Тар</t>
  </si>
  <si>
    <t>Соус томатный</t>
  </si>
  <si>
    <t xml:space="preserve">Соус грибной </t>
  </si>
  <si>
    <t xml:space="preserve">Сметана </t>
  </si>
  <si>
    <t>Сгущеное молоко</t>
  </si>
  <si>
    <t>Выпечка, бутерброды</t>
  </si>
  <si>
    <t>Мини-пирожки</t>
  </si>
  <si>
    <t>Пирожок с яйцом и зеленым луком</t>
  </si>
  <si>
    <t>Пирожок с мясом</t>
  </si>
  <si>
    <t>Пирожок с копченым сомом и щукой</t>
  </si>
  <si>
    <t>Пирожок ржаной с грибами</t>
  </si>
  <si>
    <t>Пирожок с капустой и яйцом</t>
  </si>
  <si>
    <t>Пирожок ржаной с солеными огурцами</t>
  </si>
  <si>
    <t>Пирожок с яблоком и корицей</t>
  </si>
  <si>
    <t>Пирожок с брусникой</t>
  </si>
  <si>
    <t xml:space="preserve">Пирог печеный с яйцом </t>
  </si>
  <si>
    <t>Растегай с сомом и луком</t>
  </si>
  <si>
    <t>Мини-пирожки с мясом</t>
  </si>
  <si>
    <t>Мини-пирожки с грибами</t>
  </si>
  <si>
    <t>Мини-пирожки с картофелем</t>
  </si>
  <si>
    <t>Мини-пирожок с капустой и яйцом</t>
  </si>
  <si>
    <t>Мини-пирожок с печенью</t>
  </si>
  <si>
    <t>Мини-пирожок с творогом и вишней</t>
  </si>
  <si>
    <t>Мини-пирожок с яблоком</t>
  </si>
  <si>
    <t>Мини-пирожок с брусникой</t>
  </si>
  <si>
    <t>Мини-пирожок с яйцом и луком</t>
  </si>
  <si>
    <t>Мини-пирожок ржаной с соленым огурцом</t>
  </si>
  <si>
    <t>Мини-расстегай с семгой</t>
  </si>
  <si>
    <t>Пирожки</t>
  </si>
  <si>
    <t>Пирожки с мясом</t>
  </si>
  <si>
    <t>Пирожки с грибами</t>
  </si>
  <si>
    <t>Пирожки с картофелем</t>
  </si>
  <si>
    <t>Пирожок с печенью</t>
  </si>
  <si>
    <t>Пирожки с яблоком</t>
  </si>
  <si>
    <t>Пирожки с яйцом</t>
  </si>
  <si>
    <t>Пирожки с творогом и вишней</t>
  </si>
  <si>
    <t>Выпечка</t>
  </si>
  <si>
    <t>Ватрушка "По-царски"</t>
  </si>
  <si>
    <t>Круассан с вареной сгущенкой</t>
  </si>
  <si>
    <t>Круассан с шоколадом</t>
  </si>
  <si>
    <t xml:space="preserve">Слойка с ветчиной и сыром </t>
  </si>
  <si>
    <t>Слойка с яблоком и вишней</t>
  </si>
  <si>
    <t>Слойка с яблоком и изюмом</t>
  </si>
  <si>
    <t>Хлебная корзина ВН</t>
  </si>
  <si>
    <t>Сосиска в тесте</t>
  </si>
  <si>
    <t>Сендвичи</t>
  </si>
  <si>
    <t>Сэндвич с ветчиной и сыром</t>
  </si>
  <si>
    <t>Сэндвич с курицей</t>
  </si>
  <si>
    <t>Сэндвич с мягким сыром</t>
  </si>
  <si>
    <t>Сэндвич с тунцом</t>
  </si>
  <si>
    <t>Сэндвич с копченой индейкой</t>
  </si>
  <si>
    <t>Сэндвич с паштетом из тунца</t>
  </si>
  <si>
    <t>1/2 Сендвичи</t>
  </si>
  <si>
    <t>1/2 сендвича с ветчиной и сыром</t>
  </si>
  <si>
    <t xml:space="preserve">Каравай </t>
  </si>
  <si>
    <t>1/2 сендвича  с курицей</t>
  </si>
  <si>
    <t>1/2 сендвича с мягким сыром</t>
  </si>
  <si>
    <t>1/2 сендвича с индейкой и беконом</t>
  </si>
  <si>
    <t>1/2 сендвича с копченой индейкой</t>
  </si>
  <si>
    <t>1/2 сендвича с паштетом из тунца</t>
  </si>
  <si>
    <t>1/2 сендвича с лососем и соусом Песто</t>
  </si>
  <si>
    <t>Мини -Сендвичи</t>
  </si>
  <si>
    <t>Мини-сендвич с семгой</t>
  </si>
  <si>
    <t>Мини-сендвич с пармой</t>
  </si>
  <si>
    <t>Мини-сендвич с угрем</t>
  </si>
  <si>
    <t>Мини-сендвич с телятиной</t>
  </si>
  <si>
    <t>Бутерброды</t>
  </si>
  <si>
    <t>Бутерброд с сыровяленой колбасой</t>
  </si>
  <si>
    <t>Бутерброд с бужениной</t>
  </si>
  <si>
    <t>Бутерброд с индейкой</t>
  </si>
  <si>
    <t>Бутерброд с копченой колбасой</t>
  </si>
  <si>
    <t>Бутерброд с форелью</t>
  </si>
  <si>
    <t>Бутерброд  с лососем</t>
  </si>
  <si>
    <t>Десерт</t>
  </si>
  <si>
    <t>Французские мини-эклеры /ваниль, шоколад, манго,мята/</t>
  </si>
  <si>
    <t>Кейк-попсы</t>
  </si>
  <si>
    <t>Маршмеллоу</t>
  </si>
  <si>
    <t>Мини-тирамису</t>
  </si>
  <si>
    <t xml:space="preserve">Печенье овсяное </t>
  </si>
  <si>
    <t>Кукис шоколадный</t>
  </si>
  <si>
    <t>Печенье кокосовое</t>
  </si>
  <si>
    <t>Маффин шоколадный</t>
  </si>
  <si>
    <t xml:space="preserve">Маффин с черникой </t>
  </si>
  <si>
    <t xml:space="preserve">Маффин с изюмом </t>
  </si>
  <si>
    <t>Мини-медовик</t>
  </si>
  <si>
    <t>Палочки бисквитные к шоколадному фонтану</t>
  </si>
  <si>
    <t>Мини-птичье молоко</t>
  </si>
  <si>
    <t>Мини-Опера</t>
  </si>
  <si>
    <t>Мини-Красный бархат</t>
  </si>
  <si>
    <t>Мини-брауни</t>
  </si>
  <si>
    <t>Мини-прага</t>
  </si>
  <si>
    <t>Мини-чизкейк</t>
  </si>
  <si>
    <t xml:space="preserve">Ванильный мусс </t>
  </si>
  <si>
    <t xml:space="preserve">Шоколадный мусс </t>
  </si>
  <si>
    <t xml:space="preserve">Сырный мусс с клубникой </t>
  </si>
  <si>
    <t>Мини-маковый</t>
  </si>
  <si>
    <t>Панакота с вишневым вареньем</t>
  </si>
  <si>
    <t xml:space="preserve">Шоколадное сердце с облепиховым желе </t>
  </si>
  <si>
    <t>Чизкейк малиновый</t>
  </si>
  <si>
    <t xml:space="preserve">Карамельный десерт с черносливом и курагой </t>
  </si>
  <si>
    <t>Фрукты</t>
  </si>
  <si>
    <t>Фрукты по сезону</t>
  </si>
  <si>
    <t xml:space="preserve">Морс </t>
  </si>
  <si>
    <t>Итого кухня</t>
  </si>
  <si>
    <t>Итого грамм на персону без напитков</t>
  </si>
  <si>
    <t xml:space="preserve">Безалкогольные напитки </t>
  </si>
  <si>
    <t>Вода "Хрустальная"  газ/ б/г</t>
  </si>
  <si>
    <t>Вода "Даусуз"  стекло</t>
  </si>
  <si>
    <t>Чай пакетированный</t>
  </si>
  <si>
    <t>Кофе пакетированный</t>
  </si>
  <si>
    <t>Сливки порционные</t>
  </si>
  <si>
    <t>Чай в чайнике /черный, зеленый/</t>
  </si>
  <si>
    <t>Кофе "Капуччино</t>
  </si>
  <si>
    <t>Кофе "Эспрессо", "Американо"</t>
  </si>
  <si>
    <t>30/120</t>
  </si>
  <si>
    <t xml:space="preserve">Итого бар </t>
  </si>
  <si>
    <t>Итого кухня + бар</t>
  </si>
  <si>
    <t>Итого кухня + бар на персону</t>
  </si>
  <si>
    <t>Аренда, услуги, логистика</t>
  </si>
  <si>
    <t>ИТОГО ПО ВСЕМ РАЗДЕЛАМ</t>
  </si>
  <si>
    <t>Итого по всем разделам на персону</t>
  </si>
  <si>
    <t>Лосось с/с на облепиховом террине</t>
  </si>
  <si>
    <t>Мясо утки на черносмродиновом желе</t>
  </si>
  <si>
    <t>Закуска из свиной корейки и тартаром из груздей</t>
  </si>
  <si>
    <t>Эклер с креветкой,соусом спайси и икрой тобико</t>
  </si>
  <si>
    <t>Форшмак волжский из судака на черном хлебе</t>
  </si>
  <si>
    <t>только зимий</t>
  </si>
  <si>
    <t>Эклер с муссом из лосося с цитрусовой глазурью</t>
  </si>
  <si>
    <t>Наполеон из тунца</t>
  </si>
  <si>
    <t>Горячие закуски</t>
  </si>
  <si>
    <t>Блинчик с лисичками</t>
  </si>
  <si>
    <t>Холодные закуски</t>
  </si>
  <si>
    <t>Холодное из индейки</t>
  </si>
  <si>
    <t>Эклеры с тар-таром из сыровяленной говядины, каперсами и вяленными томатами</t>
  </si>
  <si>
    <t>Рулет из судака и щуки с грибами, с  муссом из сливочного хрена</t>
  </si>
  <si>
    <t>Кейтеринг- меню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</si>
</sst>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dd\.mm\.yyyy"/>
    <numFmt numFmtId="166" formatCode="#\ ##0&quot; р.&quot;"/>
    <numFmt numFmtId="167" formatCode="#\ ##0\ &quot;₽&quot;"/>
  </numFmts>
  <fonts count="16">
    <font>
      <sz val="12"/>
      <color indexed="8"/>
      <name val="Verdana"/>
      <charset val="134"/>
    </font>
    <font>
      <sz val="10"/>
      <color indexed="8"/>
      <name val="Verdana"/>
      <family val="2"/>
      <charset val="204"/>
    </font>
    <font>
      <sz val="10"/>
      <color indexed="8"/>
      <name val="Calibri"/>
      <family val="2"/>
      <charset val="204"/>
    </font>
    <font>
      <sz val="10"/>
      <color theme="0" tint="-4.9989318521683403E-2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5"/>
      <color indexed="8"/>
      <name val="Calibri"/>
      <family val="2"/>
      <charset val="204"/>
    </font>
    <font>
      <b/>
      <sz val="9"/>
      <color indexed="8"/>
      <name val="Calibri"/>
      <family val="2"/>
      <charset val="204"/>
    </font>
    <font>
      <u/>
      <sz val="10"/>
      <color indexed="11"/>
      <name val="Calibri"/>
      <family val="2"/>
      <charset val="204"/>
    </font>
    <font>
      <sz val="10"/>
      <color rgb="FFFF0000"/>
      <name val="Calibri"/>
      <family val="2"/>
      <charset val="204"/>
    </font>
    <font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sz val="12"/>
      <color indexed="8"/>
      <name val="Verdana"/>
      <family val="2"/>
      <charset val="204"/>
    </font>
    <font>
      <sz val="10"/>
      <color rgb="FF000000"/>
      <name val="Calibri"/>
      <family val="2"/>
      <charset val="204"/>
    </font>
    <font>
      <sz val="10"/>
      <name val="Calibri"/>
      <family val="2"/>
      <charset val="204"/>
    </font>
    <font>
      <b/>
      <sz val="24"/>
      <color indexed="8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CD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2" fillId="0" borderId="0" applyNumberFormat="0" applyFill="0" applyBorder="0" applyProtection="0">
      <alignment vertical="top" wrapText="1"/>
    </xf>
  </cellStyleXfs>
  <cellXfs count="216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0" xfId="0" applyFont="1" applyAlignment="1"/>
    <xf numFmtId="0" fontId="1" fillId="2" borderId="0" xfId="0" applyFont="1" applyFill="1" applyAlignment="1">
      <alignment vertical="top" wrapText="1"/>
    </xf>
    <xf numFmtId="0" fontId="2" fillId="0" borderId="0" xfId="0" applyNumberFormat="1" applyFont="1" applyAlignment="1"/>
    <xf numFmtId="0" fontId="1" fillId="0" borderId="0" xfId="0" applyFont="1" applyAlignment="1">
      <alignment vertical="top"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6" borderId="2" xfId="0" applyNumberFormat="1" applyFont="1" applyFill="1" applyBorder="1" applyAlignment="1">
      <alignment horizontal="left" vertical="center" wrapText="1"/>
    </xf>
    <xf numFmtId="0" fontId="2" fillId="6" borderId="3" xfId="0" applyNumberFormat="1" applyFont="1" applyFill="1" applyBorder="1" applyAlignment="1">
      <alignment horizontal="left" vertical="center" wrapText="1"/>
    </xf>
    <xf numFmtId="0" fontId="2" fillId="6" borderId="4" xfId="0" applyNumberFormat="1" applyFont="1" applyFill="1" applyBorder="1" applyAlignment="1">
      <alignment horizontal="left" vertical="center" wrapText="1"/>
    </xf>
    <xf numFmtId="0" fontId="2" fillId="7" borderId="1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9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/>
    <xf numFmtId="0" fontId="2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/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/>
    <xf numFmtId="0" fontId="2" fillId="2" borderId="0" xfId="0" applyNumberFormat="1" applyFont="1" applyFill="1" applyBorder="1" applyAlignment="1"/>
    <xf numFmtId="1" fontId="2" fillId="2" borderId="0" xfId="0" applyNumberFormat="1" applyFont="1" applyFill="1" applyBorder="1" applyAlignment="1">
      <alignment vertical="center" wrapText="1"/>
    </xf>
    <xf numFmtId="0" fontId="2" fillId="0" borderId="0" xfId="0" applyNumberFormat="1" applyFont="1" applyAlignment="1">
      <alignment horizontal="left"/>
    </xf>
    <xf numFmtId="1" fontId="2" fillId="6" borderId="1" xfId="0" applyNumberFormat="1" applyFont="1" applyFill="1" applyBorder="1" applyAlignment="1">
      <alignment horizontal="left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" fillId="6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2" borderId="0" xfId="0" applyFont="1" applyFill="1" applyAlignment="1"/>
    <xf numFmtId="0" fontId="1" fillId="0" borderId="0" xfId="0" applyFont="1" applyAlignment="1">
      <alignment horizontal="center" vertical="center"/>
    </xf>
    <xf numFmtId="0" fontId="2" fillId="6" borderId="0" xfId="0" applyNumberFormat="1" applyFont="1" applyFill="1" applyBorder="1" applyAlignment="1">
      <alignment vertical="center" wrapText="1"/>
    </xf>
    <xf numFmtId="0" fontId="2" fillId="0" borderId="0" xfId="0" applyNumberFormat="1" applyFont="1" applyBorder="1" applyAlignment="1"/>
    <xf numFmtId="0" fontId="2" fillId="0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" fontId="14" fillId="10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15" fillId="0" borderId="0" xfId="0" applyNumberFormat="1" applyFont="1" applyBorder="1" applyAlignment="1">
      <alignment horizontal="right" vertical="center" wrapText="1"/>
    </xf>
    <xf numFmtId="1" fontId="15" fillId="0" borderId="6" xfId="0" applyNumberFormat="1" applyFont="1" applyBorder="1" applyAlignment="1">
      <alignment horizontal="right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left" vertical="center" wrapText="1"/>
    </xf>
    <xf numFmtId="0" fontId="2" fillId="4" borderId="3" xfId="0" applyNumberFormat="1" applyFont="1" applyFill="1" applyBorder="1" applyAlignment="1">
      <alignment horizontal="left" vertical="center" wrapText="1"/>
    </xf>
    <xf numFmtId="0" fontId="2" fillId="4" borderId="4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left" vertical="center" wrapText="1"/>
    </xf>
    <xf numFmtId="0" fontId="2" fillId="5" borderId="2" xfId="0" applyNumberFormat="1" applyFont="1" applyFill="1" applyBorder="1" applyAlignment="1">
      <alignment horizontal="left" vertical="center" wrapText="1"/>
    </xf>
    <xf numFmtId="0" fontId="2" fillId="5" borderId="3" xfId="0" applyNumberFormat="1" applyFont="1" applyFill="1" applyBorder="1" applyAlignment="1">
      <alignment horizontal="left" vertical="center" wrapText="1"/>
    </xf>
    <xf numFmtId="0" fontId="2" fillId="5" borderId="4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0" fontId="2" fillId="6" borderId="1" xfId="0" applyNumberFormat="1" applyFont="1" applyFill="1" applyBorder="1" applyAlignment="1">
      <alignment vertical="center" wrapText="1"/>
    </xf>
    <xf numFmtId="1" fontId="2" fillId="6" borderId="1" xfId="0" applyNumberFormat="1" applyFont="1" applyFill="1" applyBorder="1" applyAlignment="1">
      <alignment vertical="center" wrapText="1"/>
    </xf>
    <xf numFmtId="0" fontId="2" fillId="6" borderId="2" xfId="0" applyNumberFormat="1" applyFont="1" applyFill="1" applyBorder="1" applyAlignment="1">
      <alignment horizontal="left" vertical="center" wrapText="1"/>
    </xf>
    <xf numFmtId="0" fontId="2" fillId="6" borderId="3" xfId="0" applyNumberFormat="1" applyFont="1" applyFill="1" applyBorder="1" applyAlignment="1">
      <alignment horizontal="left" vertical="center" wrapText="1"/>
    </xf>
    <xf numFmtId="0" fontId="2" fillId="6" borderId="4" xfId="0" applyNumberFormat="1" applyFont="1" applyFill="1" applyBorder="1" applyAlignment="1">
      <alignment horizontal="left" vertical="center" wrapText="1"/>
    </xf>
    <xf numFmtId="0" fontId="2" fillId="7" borderId="2" xfId="0" applyNumberFormat="1" applyFont="1" applyFill="1" applyBorder="1" applyAlignment="1">
      <alignment horizontal="left" vertical="center" wrapText="1"/>
    </xf>
    <xf numFmtId="0" fontId="2" fillId="7" borderId="3" xfId="0" applyNumberFormat="1" applyFont="1" applyFill="1" applyBorder="1" applyAlignment="1">
      <alignment horizontal="left" vertical="center" wrapText="1"/>
    </xf>
    <xf numFmtId="0" fontId="2" fillId="7" borderId="4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8" borderId="2" xfId="0" applyNumberFormat="1" applyFont="1" applyFill="1" applyBorder="1" applyAlignment="1">
      <alignment horizontal="left" vertical="center" wrapText="1"/>
    </xf>
    <xf numFmtId="0" fontId="2" fillId="8" borderId="3" xfId="0" applyNumberFormat="1" applyFont="1" applyFill="1" applyBorder="1" applyAlignment="1">
      <alignment horizontal="left" vertical="center" wrapText="1"/>
    </xf>
    <xf numFmtId="0" fontId="2" fillId="8" borderId="4" xfId="0" applyNumberFormat="1" applyFont="1" applyFill="1" applyBorder="1" applyAlignment="1">
      <alignment horizontal="left" vertical="center" wrapText="1"/>
    </xf>
    <xf numFmtId="0" fontId="2" fillId="9" borderId="2" xfId="0" applyNumberFormat="1" applyFont="1" applyFill="1" applyBorder="1" applyAlignment="1">
      <alignment horizontal="left" vertical="center" wrapText="1"/>
    </xf>
    <xf numFmtId="0" fontId="2" fillId="9" borderId="3" xfId="0" applyNumberFormat="1" applyFont="1" applyFill="1" applyBorder="1" applyAlignment="1">
      <alignment horizontal="left" vertical="center" wrapText="1"/>
    </xf>
    <xf numFmtId="0" fontId="2" fillId="9" borderId="4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 applyAlignment="1">
      <alignment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vertical="center" wrapText="1"/>
    </xf>
    <xf numFmtId="0" fontId="0" fillId="4" borderId="3" xfId="0" applyFont="1" applyFill="1" applyBorder="1" applyAlignment="1">
      <alignment horizontal="left" vertical="center" wrapText="1"/>
    </xf>
    <xf numFmtId="0" fontId="0" fillId="4" borderId="4" xfId="0" applyFont="1" applyFill="1" applyBorder="1" applyAlignment="1">
      <alignment horizontal="left" vertical="center" wrapText="1"/>
    </xf>
    <xf numFmtId="0" fontId="2" fillId="10" borderId="2" xfId="0" applyNumberFormat="1" applyFont="1" applyFill="1" applyBorder="1" applyAlignment="1">
      <alignment horizontal="left" vertical="center" wrapText="1"/>
    </xf>
    <xf numFmtId="0" fontId="2" fillId="10" borderId="3" xfId="0" applyNumberFormat="1" applyFont="1" applyFill="1" applyBorder="1" applyAlignment="1">
      <alignment horizontal="left" vertical="center" wrapText="1"/>
    </xf>
    <xf numFmtId="0" fontId="2" fillId="10" borderId="4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0" fontId="2" fillId="6" borderId="1" xfId="0" applyNumberFormat="1" applyFont="1" applyFill="1" applyBorder="1" applyAlignment="1">
      <alignment horizontal="left" vertical="center" wrapText="1"/>
    </xf>
    <xf numFmtId="1" fontId="2" fillId="6" borderId="1" xfId="0" applyNumberFormat="1" applyFont="1" applyFill="1" applyBorder="1" applyAlignment="1">
      <alignment horizontal="left" vertical="center" wrapText="1"/>
    </xf>
    <xf numFmtId="0" fontId="2" fillId="2" borderId="2" xfId="1" applyNumberFormat="1" applyFont="1" applyFill="1" applyBorder="1" applyAlignment="1">
      <alignment horizontal="left" vertical="center" wrapText="1"/>
    </xf>
    <xf numFmtId="0" fontId="2" fillId="2" borderId="3" xfId="1" applyNumberFormat="1" applyFont="1" applyFill="1" applyBorder="1" applyAlignment="1">
      <alignment horizontal="left" vertical="center" wrapText="1"/>
    </xf>
    <xf numFmtId="0" fontId="2" fillId="2" borderId="4" xfId="1" applyNumberFormat="1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2" fillId="10" borderId="1" xfId="0" applyNumberFormat="1" applyFont="1" applyFill="1" applyBorder="1" applyAlignment="1">
      <alignment horizontal="left" vertical="center" wrapText="1"/>
    </xf>
    <xf numFmtId="1" fontId="2" fillId="10" borderId="1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2" fillId="9" borderId="1" xfId="0" applyNumberFormat="1" applyFont="1" applyFill="1" applyBorder="1" applyAlignment="1">
      <alignment horizontal="left" vertical="center" wrapText="1"/>
    </xf>
    <xf numFmtId="1" fontId="2" fillId="9" borderId="1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0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right" vertical="center" wrapText="1"/>
    </xf>
    <xf numFmtId="0" fontId="5" fillId="3" borderId="4" xfId="0" applyNumberFormat="1" applyFont="1" applyFill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right" vertical="center" wrapText="1"/>
    </xf>
    <xf numFmtId="1" fontId="4" fillId="3" borderId="1" xfId="0" applyNumberFormat="1" applyFont="1" applyFill="1" applyBorder="1" applyAlignment="1">
      <alignment horizontal="right" vertical="center" wrapText="1"/>
    </xf>
    <xf numFmtId="0" fontId="2" fillId="0" borderId="2" xfId="0" applyNumberFormat="1" applyFont="1" applyFill="1" applyBorder="1" applyAlignment="1">
      <alignment horizontal="left" vertical="center" shrinkToFit="1"/>
    </xf>
    <xf numFmtId="0" fontId="2" fillId="0" borderId="3" xfId="0" applyNumberFormat="1" applyFont="1" applyFill="1" applyBorder="1" applyAlignment="1">
      <alignment horizontal="left" vertical="center" shrinkToFit="1"/>
    </xf>
    <xf numFmtId="0" fontId="2" fillId="0" borderId="4" xfId="0" applyNumberFormat="1" applyFont="1" applyFill="1" applyBorder="1" applyAlignment="1">
      <alignment horizontal="left" vertical="center" shrinkToFit="1"/>
    </xf>
  </cellXfs>
  <cellStyles count="2">
    <cellStyle name="Обычный" xfId="0" builtinId="0"/>
    <cellStyle name="Обычный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CD2"/>
      <color rgb="FFCED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400051</xdr:colOff>
      <xdr:row>0</xdr:row>
      <xdr:rowOff>0</xdr:rowOff>
    </xdr:from>
    <xdr:to>
      <xdr:col>7</xdr:col>
      <xdr:colOff>114301</xdr:colOff>
      <xdr:row>4</xdr:row>
      <xdr:rowOff>84283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ABAF85B-B13A-4A93-A7B9-39C0CE222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09701" y="0"/>
          <a:ext cx="2711450" cy="973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323"/>
  <sheetViews>
    <sheetView showGridLines="0" tabSelected="1" workbookViewId="0">
      <selection activeCell="A9" sqref="A9"/>
    </sheetView>
  </sheetViews>
  <sheetFormatPr defaultColWidth="6.59765625" defaultRowHeight="15" customHeight="1"/>
  <cols>
    <col min="1" max="1" width="10.59765625" style="6" customWidth="1"/>
    <col min="2" max="2" width="5.06640625" style="6" customWidth="1"/>
    <col min="3" max="3" width="6.06640625" style="6" customWidth="1"/>
    <col min="4" max="4" width="4.86328125" style="6" customWidth="1"/>
    <col min="5" max="5" width="5.3984375" style="6" customWidth="1"/>
    <col min="6" max="6" width="5.19921875" style="6" customWidth="1"/>
    <col min="7" max="7" width="4.86328125" style="6" customWidth="1"/>
    <col min="8" max="8" width="5.9296875" style="6" customWidth="1"/>
    <col min="9" max="9" width="7.06640625" style="6" customWidth="1"/>
    <col min="10" max="10" width="13.46484375" style="6" customWidth="1"/>
    <col min="11" max="11" width="8.46484375" style="6" customWidth="1"/>
    <col min="12" max="243" width="6.59765625" style="6" customWidth="1"/>
    <col min="244" max="16384" width="6.59765625" style="7"/>
  </cols>
  <sheetData>
    <row r="1" spans="1:243" ht="12.75" customHeight="1">
      <c r="A1" s="101"/>
      <c r="B1" s="101"/>
      <c r="C1" s="101"/>
      <c r="D1" s="8"/>
      <c r="E1" s="102"/>
      <c r="F1" s="102"/>
      <c r="G1" s="103"/>
      <c r="H1" s="103"/>
      <c r="I1" s="103"/>
      <c r="J1" s="103"/>
      <c r="K1" s="42"/>
    </row>
    <row r="2" spans="1:243" ht="13.5" customHeight="1">
      <c r="A2" s="101"/>
      <c r="B2" s="101"/>
      <c r="C2" s="101"/>
      <c r="D2" s="8"/>
      <c r="E2" s="8"/>
      <c r="F2" s="8"/>
      <c r="G2" s="9"/>
      <c r="H2" s="8"/>
      <c r="I2" s="102"/>
      <c r="J2" s="103"/>
      <c r="K2" s="42"/>
    </row>
    <row r="3" spans="1:243" ht="15" customHeight="1">
      <c r="A3" s="101"/>
      <c r="B3" s="101"/>
      <c r="C3" s="101"/>
      <c r="D3" s="8"/>
      <c r="E3" s="10"/>
      <c r="F3" s="10"/>
      <c r="G3" s="11"/>
      <c r="H3" s="11"/>
      <c r="I3" s="110"/>
      <c r="J3" s="110"/>
      <c r="K3" s="42"/>
    </row>
    <row r="4" spans="1:243" ht="29.25" customHeight="1">
      <c r="A4" s="8"/>
      <c r="B4" s="8"/>
      <c r="C4" s="8"/>
      <c r="D4" s="8"/>
      <c r="E4" s="8"/>
      <c r="F4" s="8"/>
      <c r="G4" s="9"/>
      <c r="H4" s="8"/>
      <c r="I4" s="111"/>
      <c r="J4" s="111"/>
      <c r="K4" s="42"/>
    </row>
    <row r="5" spans="1:243" ht="15" customHeight="1">
      <c r="A5" s="104" t="s">
        <v>326</v>
      </c>
      <c r="B5" s="105"/>
      <c r="C5" s="105"/>
      <c r="D5" s="105"/>
      <c r="E5" s="105"/>
      <c r="F5" s="105"/>
      <c r="G5" s="105"/>
      <c r="H5" s="105"/>
      <c r="I5" s="105"/>
      <c r="J5" s="105"/>
      <c r="K5" s="42"/>
    </row>
    <row r="6" spans="1:243" ht="15" customHeight="1">
      <c r="A6" s="112" t="s">
        <v>0</v>
      </c>
      <c r="B6" s="113"/>
      <c r="C6" s="113"/>
      <c r="D6" s="112" t="s">
        <v>1</v>
      </c>
      <c r="E6" s="113"/>
      <c r="F6" s="106" t="s">
        <v>2</v>
      </c>
      <c r="G6" s="107"/>
      <c r="H6" s="108"/>
      <c r="I6" s="112" t="s">
        <v>3</v>
      </c>
      <c r="J6" s="113"/>
      <c r="K6" s="42"/>
    </row>
    <row r="7" spans="1:243" s="1" customFormat="1" ht="24.9" customHeight="1">
      <c r="A7" s="113"/>
      <c r="B7" s="113"/>
      <c r="C7" s="113"/>
      <c r="D7" s="113"/>
      <c r="E7" s="113"/>
      <c r="F7" s="13" t="s">
        <v>4</v>
      </c>
      <c r="G7" s="12" t="s">
        <v>5</v>
      </c>
      <c r="H7" s="12" t="s">
        <v>6</v>
      </c>
      <c r="I7" s="113"/>
      <c r="J7" s="113"/>
      <c r="K7" s="43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</row>
    <row r="8" spans="1:243" ht="15" customHeight="1">
      <c r="A8" s="109"/>
      <c r="B8" s="109"/>
      <c r="C8" s="109"/>
      <c r="D8" s="109"/>
      <c r="E8" s="109"/>
      <c r="F8" s="15"/>
      <c r="G8" s="16"/>
      <c r="H8" s="16"/>
      <c r="I8" s="109"/>
      <c r="J8" s="109"/>
      <c r="K8" s="42"/>
    </row>
    <row r="9" spans="1:243" ht="15" customHeight="1">
      <c r="A9" s="100" t="s">
        <v>7</v>
      </c>
      <c r="B9" s="112" t="s">
        <v>8</v>
      </c>
      <c r="C9" s="113"/>
      <c r="D9" s="12" t="s">
        <v>9</v>
      </c>
      <c r="E9" s="12" t="s">
        <v>10</v>
      </c>
      <c r="F9" s="17" t="s">
        <v>11</v>
      </c>
      <c r="G9" s="112" t="s">
        <v>12</v>
      </c>
      <c r="H9" s="113"/>
      <c r="I9" s="112" t="s">
        <v>13</v>
      </c>
      <c r="J9" s="113"/>
      <c r="K9" s="42"/>
    </row>
    <row r="10" spans="1:243" ht="15" customHeight="1">
      <c r="A10" s="18"/>
      <c r="B10" s="109"/>
      <c r="C10" s="109"/>
      <c r="D10" s="19">
        <v>1</v>
      </c>
      <c r="E10" s="20"/>
      <c r="F10" s="20"/>
      <c r="G10" s="109"/>
      <c r="H10" s="109"/>
      <c r="I10" s="109"/>
      <c r="J10" s="109"/>
      <c r="K10" s="42"/>
    </row>
    <row r="11" spans="1:243" ht="15" customHeight="1">
      <c r="A11" s="114" t="s">
        <v>14</v>
      </c>
      <c r="B11" s="115"/>
      <c r="C11" s="115"/>
      <c r="D11" s="115"/>
      <c r="E11" s="112" t="s">
        <v>15</v>
      </c>
      <c r="F11" s="112"/>
      <c r="G11" s="113"/>
      <c r="H11" s="113"/>
      <c r="I11" s="112" t="s">
        <v>16</v>
      </c>
      <c r="J11" s="113"/>
      <c r="K11" s="42"/>
    </row>
    <row r="12" spans="1:243" ht="15" customHeight="1">
      <c r="A12" s="116"/>
      <c r="B12" s="116"/>
      <c r="C12" s="116"/>
      <c r="D12" s="116"/>
      <c r="E12" s="117"/>
      <c r="F12" s="117"/>
      <c r="G12" s="109"/>
      <c r="H12" s="109"/>
      <c r="I12" s="116"/>
      <c r="J12" s="116"/>
      <c r="K12" s="42"/>
    </row>
    <row r="13" spans="1:243" ht="15" customHeight="1">
      <c r="A13" s="118" t="s">
        <v>17</v>
      </c>
      <c r="B13" s="119"/>
      <c r="C13" s="119"/>
      <c r="D13" s="119"/>
      <c r="E13" s="119"/>
      <c r="F13" s="119"/>
      <c r="G13" s="119"/>
      <c r="H13" s="119"/>
      <c r="I13" s="119"/>
      <c r="J13" s="120"/>
      <c r="K13" s="42"/>
    </row>
    <row r="14" spans="1:243" ht="24.9" customHeight="1">
      <c r="A14" s="112" t="s">
        <v>18</v>
      </c>
      <c r="B14" s="113"/>
      <c r="C14" s="113"/>
      <c r="D14" s="113"/>
      <c r="E14" s="12" t="s">
        <v>19</v>
      </c>
      <c r="F14" s="12" t="s">
        <v>20</v>
      </c>
      <c r="G14" s="12" t="s">
        <v>21</v>
      </c>
      <c r="H14" s="12" t="s">
        <v>22</v>
      </c>
      <c r="I14" s="12" t="s">
        <v>23</v>
      </c>
      <c r="J14" s="12"/>
      <c r="K14" s="42"/>
    </row>
    <row r="15" spans="1:243" ht="15" customHeight="1">
      <c r="A15" s="121" t="s">
        <v>24</v>
      </c>
      <c r="B15" s="122"/>
      <c r="C15" s="122"/>
      <c r="D15" s="123"/>
      <c r="E15" s="21">
        <v>15</v>
      </c>
      <c r="F15" s="22">
        <f t="shared" ref="F15:F18" si="0">E15*H15/$D$10</f>
        <v>0</v>
      </c>
      <c r="G15" s="21">
        <v>170</v>
      </c>
      <c r="H15" s="21"/>
      <c r="I15" s="22">
        <f t="shared" ref="I15:I17" si="1">H15*G15</f>
        <v>0</v>
      </c>
      <c r="J15" s="21"/>
      <c r="K15" s="42"/>
    </row>
    <row r="16" spans="1:243" ht="15" customHeight="1">
      <c r="A16" s="121" t="s">
        <v>25</v>
      </c>
      <c r="B16" s="122"/>
      <c r="C16" s="122"/>
      <c r="D16" s="123"/>
      <c r="E16" s="21">
        <v>15</v>
      </c>
      <c r="F16" s="22">
        <f t="shared" si="0"/>
        <v>0</v>
      </c>
      <c r="G16" s="21">
        <v>150</v>
      </c>
      <c r="H16" s="21"/>
      <c r="I16" s="22">
        <f t="shared" si="1"/>
        <v>0</v>
      </c>
      <c r="J16" s="21"/>
      <c r="K16" s="42"/>
    </row>
    <row r="17" spans="1:251" ht="15" customHeight="1">
      <c r="A17" s="121" t="s">
        <v>26</v>
      </c>
      <c r="B17" s="122"/>
      <c r="C17" s="122"/>
      <c r="D17" s="123"/>
      <c r="E17" s="21">
        <v>15</v>
      </c>
      <c r="F17" s="22">
        <f t="shared" si="0"/>
        <v>0</v>
      </c>
      <c r="G17" s="21">
        <v>90</v>
      </c>
      <c r="H17" s="21"/>
      <c r="I17" s="22">
        <f t="shared" si="1"/>
        <v>0</v>
      </c>
      <c r="J17" s="21"/>
      <c r="K17" s="42"/>
    </row>
    <row r="18" spans="1:251" ht="15" customHeight="1">
      <c r="A18" s="124" t="s">
        <v>27</v>
      </c>
      <c r="B18" s="125"/>
      <c r="C18" s="125"/>
      <c r="D18" s="125"/>
      <c r="E18" s="23">
        <v>25</v>
      </c>
      <c r="F18" s="24">
        <f t="shared" si="0"/>
        <v>0</v>
      </c>
      <c r="G18" s="14">
        <v>65</v>
      </c>
      <c r="H18" s="25"/>
      <c r="I18" s="14">
        <f t="shared" ref="I18:I55" si="2">H18*G18</f>
        <v>0</v>
      </c>
      <c r="J18" s="45"/>
      <c r="K18" s="42"/>
    </row>
    <row r="19" spans="1:251" ht="15" customHeight="1">
      <c r="A19" s="124" t="s">
        <v>28</v>
      </c>
      <c r="B19" s="125"/>
      <c r="C19" s="125"/>
      <c r="D19" s="125"/>
      <c r="E19" s="23">
        <v>30</v>
      </c>
      <c r="F19" s="24">
        <f t="shared" ref="F19:F55" si="3">E19*H19/$D$10</f>
        <v>0</v>
      </c>
      <c r="G19" s="14">
        <v>90</v>
      </c>
      <c r="H19" s="26"/>
      <c r="I19" s="14">
        <f t="shared" si="2"/>
        <v>0</v>
      </c>
      <c r="J19" s="45"/>
      <c r="K19" s="42"/>
    </row>
    <row r="20" spans="1:251" ht="15" customHeight="1">
      <c r="A20" s="124" t="s">
        <v>29</v>
      </c>
      <c r="B20" s="125"/>
      <c r="C20" s="125"/>
      <c r="D20" s="125"/>
      <c r="E20" s="23">
        <v>35</v>
      </c>
      <c r="F20" s="24">
        <f t="shared" si="3"/>
        <v>0</v>
      </c>
      <c r="G20" s="14">
        <v>210</v>
      </c>
      <c r="H20" s="25"/>
      <c r="I20" s="14">
        <f t="shared" si="2"/>
        <v>0</v>
      </c>
      <c r="J20" s="45"/>
      <c r="K20" s="42"/>
    </row>
    <row r="21" spans="1:251" ht="24.9" customHeight="1">
      <c r="A21" s="126" t="s">
        <v>30</v>
      </c>
      <c r="B21" s="127"/>
      <c r="C21" s="127"/>
      <c r="D21" s="128"/>
      <c r="E21" s="27">
        <v>19</v>
      </c>
      <c r="F21" s="28">
        <f t="shared" si="3"/>
        <v>0</v>
      </c>
      <c r="G21" s="28">
        <v>80</v>
      </c>
      <c r="H21" s="29"/>
      <c r="I21" s="28">
        <f t="shared" si="2"/>
        <v>0</v>
      </c>
      <c r="J21" s="28"/>
      <c r="K21" s="42"/>
    </row>
    <row r="22" spans="1:251" ht="24.9" customHeight="1">
      <c r="A22" s="126" t="s">
        <v>31</v>
      </c>
      <c r="B22" s="127"/>
      <c r="C22" s="127"/>
      <c r="D22" s="128"/>
      <c r="E22" s="27">
        <v>22</v>
      </c>
      <c r="F22" s="28">
        <f t="shared" si="3"/>
        <v>0</v>
      </c>
      <c r="G22" s="28">
        <v>95</v>
      </c>
      <c r="H22" s="29"/>
      <c r="I22" s="28">
        <f t="shared" si="2"/>
        <v>0</v>
      </c>
      <c r="J22" s="28"/>
      <c r="K22" s="42"/>
    </row>
    <row r="23" spans="1:251" ht="24.9" customHeight="1">
      <c r="A23" s="126" t="s">
        <v>32</v>
      </c>
      <c r="B23" s="127"/>
      <c r="C23" s="127"/>
      <c r="D23" s="128"/>
      <c r="E23" s="27">
        <v>36</v>
      </c>
      <c r="F23" s="28">
        <f t="shared" si="3"/>
        <v>0</v>
      </c>
      <c r="G23" s="28">
        <v>70</v>
      </c>
      <c r="H23" s="29"/>
      <c r="I23" s="28">
        <f t="shared" si="2"/>
        <v>0</v>
      </c>
      <c r="J23" s="28"/>
      <c r="K23" s="42"/>
    </row>
    <row r="24" spans="1:251" ht="24.9" customHeight="1">
      <c r="A24" s="126" t="s">
        <v>33</v>
      </c>
      <c r="B24" s="127"/>
      <c r="C24" s="127"/>
      <c r="D24" s="128"/>
      <c r="E24" s="27">
        <v>15</v>
      </c>
      <c r="F24" s="28">
        <f t="shared" si="3"/>
        <v>0</v>
      </c>
      <c r="G24" s="28">
        <v>90</v>
      </c>
      <c r="H24" s="29"/>
      <c r="I24" s="28">
        <f t="shared" si="2"/>
        <v>0</v>
      </c>
      <c r="J24" s="28"/>
      <c r="K24" s="42"/>
    </row>
    <row r="25" spans="1:251" ht="15" customHeight="1">
      <c r="A25" s="129" t="s">
        <v>34</v>
      </c>
      <c r="B25" s="130"/>
      <c r="C25" s="130"/>
      <c r="D25" s="131"/>
      <c r="E25" s="30">
        <v>20</v>
      </c>
      <c r="F25" s="24">
        <f t="shared" si="3"/>
        <v>0</v>
      </c>
      <c r="G25" s="14">
        <v>55</v>
      </c>
      <c r="H25" s="30"/>
      <c r="I25" s="14">
        <f t="shared" si="2"/>
        <v>0</v>
      </c>
      <c r="J25" s="45"/>
      <c r="K25" s="42"/>
    </row>
    <row r="26" spans="1:251" ht="15" customHeight="1">
      <c r="A26" s="124" t="s">
        <v>35</v>
      </c>
      <c r="B26" s="125"/>
      <c r="C26" s="125"/>
      <c r="D26" s="125"/>
      <c r="E26" s="23">
        <v>30</v>
      </c>
      <c r="F26" s="24">
        <f t="shared" si="3"/>
        <v>0</v>
      </c>
      <c r="G26" s="24">
        <v>80</v>
      </c>
      <c r="H26" s="25"/>
      <c r="I26" s="14">
        <f t="shared" si="2"/>
        <v>0</v>
      </c>
      <c r="J26" s="45"/>
      <c r="K26" s="42"/>
    </row>
    <row r="27" spans="1:251" s="2" customFormat="1" ht="15" customHeight="1">
      <c r="A27" s="132" t="s">
        <v>36</v>
      </c>
      <c r="B27" s="133"/>
      <c r="C27" s="133"/>
      <c r="D27" s="133"/>
      <c r="E27" s="31">
        <v>18</v>
      </c>
      <c r="F27" s="24">
        <f t="shared" si="3"/>
        <v>0</v>
      </c>
      <c r="G27" s="32">
        <v>140</v>
      </c>
      <c r="H27" s="30"/>
      <c r="I27" s="14">
        <f t="shared" si="2"/>
        <v>0</v>
      </c>
      <c r="J27" s="45"/>
      <c r="K27" s="42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</row>
    <row r="28" spans="1:251" s="2" customFormat="1" ht="15" customHeight="1">
      <c r="A28" s="134" t="s">
        <v>37</v>
      </c>
      <c r="B28" s="135"/>
      <c r="C28" s="135"/>
      <c r="D28" s="136"/>
      <c r="E28" s="31">
        <v>12</v>
      </c>
      <c r="F28" s="24">
        <f t="shared" si="3"/>
        <v>0</v>
      </c>
      <c r="G28" s="32">
        <v>90</v>
      </c>
      <c r="H28" s="30"/>
      <c r="I28" s="14">
        <f t="shared" si="2"/>
        <v>0</v>
      </c>
      <c r="J28" s="45"/>
      <c r="K28" s="42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</row>
    <row r="29" spans="1:251" s="2" customFormat="1" ht="15" customHeight="1">
      <c r="A29" s="134" t="s">
        <v>38</v>
      </c>
      <c r="B29" s="135"/>
      <c r="C29" s="135"/>
      <c r="D29" s="136"/>
      <c r="E29" s="31">
        <v>19</v>
      </c>
      <c r="F29" s="24">
        <f t="shared" si="3"/>
        <v>0</v>
      </c>
      <c r="G29" s="32">
        <v>120</v>
      </c>
      <c r="H29" s="30"/>
      <c r="I29" s="14">
        <f t="shared" si="2"/>
        <v>0</v>
      </c>
      <c r="J29" s="45"/>
      <c r="K29" s="42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</row>
    <row r="30" spans="1:251" s="2" customFormat="1" ht="24.9" customHeight="1">
      <c r="A30" s="134" t="s">
        <v>39</v>
      </c>
      <c r="B30" s="135"/>
      <c r="C30" s="135"/>
      <c r="D30" s="136"/>
      <c r="E30" s="31">
        <v>20</v>
      </c>
      <c r="F30" s="24">
        <f t="shared" si="3"/>
        <v>0</v>
      </c>
      <c r="G30" s="32">
        <v>75</v>
      </c>
      <c r="H30" s="30"/>
      <c r="I30" s="14">
        <f t="shared" si="2"/>
        <v>0</v>
      </c>
      <c r="J30" s="45"/>
      <c r="K30" s="42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</row>
    <row r="31" spans="1:251" s="2" customFormat="1" ht="24.9" customHeight="1">
      <c r="A31" s="129" t="s">
        <v>40</v>
      </c>
      <c r="B31" s="130"/>
      <c r="C31" s="130"/>
      <c r="D31" s="131"/>
      <c r="E31" s="30">
        <v>19</v>
      </c>
      <c r="F31" s="24">
        <f t="shared" si="3"/>
        <v>0</v>
      </c>
      <c r="G31" s="24">
        <v>80</v>
      </c>
      <c r="H31" s="30"/>
      <c r="I31" s="24">
        <f t="shared" si="2"/>
        <v>0</v>
      </c>
      <c r="J31" s="24"/>
      <c r="K31" s="42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</row>
    <row r="32" spans="1:251" s="2" customFormat="1" ht="24.9" customHeight="1">
      <c r="A32" s="129" t="s">
        <v>41</v>
      </c>
      <c r="B32" s="130"/>
      <c r="C32" s="130"/>
      <c r="D32" s="131"/>
      <c r="E32" s="30">
        <v>18</v>
      </c>
      <c r="F32" s="24">
        <f t="shared" si="3"/>
        <v>0</v>
      </c>
      <c r="G32" s="24">
        <v>80</v>
      </c>
      <c r="H32" s="30"/>
      <c r="I32" s="24">
        <f t="shared" si="2"/>
        <v>0</v>
      </c>
      <c r="J32" s="24"/>
      <c r="K32" s="42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</row>
    <row r="33" spans="1:251" s="2" customFormat="1" ht="24.9" customHeight="1">
      <c r="A33" s="121" t="s">
        <v>42</v>
      </c>
      <c r="B33" s="122"/>
      <c r="C33" s="122"/>
      <c r="D33" s="123"/>
      <c r="E33" s="21">
        <v>15</v>
      </c>
      <c r="F33" s="22">
        <f t="shared" ref="F33" si="4">E33*H33/$D$10</f>
        <v>0</v>
      </c>
      <c r="G33" s="22">
        <v>90</v>
      </c>
      <c r="H33" s="21"/>
      <c r="I33" s="22">
        <f t="shared" ref="I33" si="5">H33*G33</f>
        <v>0</v>
      </c>
      <c r="J33" s="22"/>
      <c r="K33" s="42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</row>
    <row r="34" spans="1:251" s="2" customFormat="1" ht="24.9" customHeight="1">
      <c r="A34" s="137" t="s">
        <v>43</v>
      </c>
      <c r="B34" s="138"/>
      <c r="C34" s="138"/>
      <c r="D34" s="139"/>
      <c r="E34" s="36">
        <v>12</v>
      </c>
      <c r="F34" s="37">
        <f t="shared" si="3"/>
        <v>0</v>
      </c>
      <c r="G34" s="37">
        <v>50</v>
      </c>
      <c r="H34" s="36"/>
      <c r="I34" s="37">
        <f t="shared" si="2"/>
        <v>0</v>
      </c>
      <c r="J34" s="37"/>
      <c r="K34" s="42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</row>
    <row r="35" spans="1:251" ht="24.9" customHeight="1">
      <c r="A35" s="129" t="s">
        <v>44</v>
      </c>
      <c r="B35" s="130"/>
      <c r="C35" s="130"/>
      <c r="D35" s="131"/>
      <c r="E35" s="30">
        <v>30</v>
      </c>
      <c r="F35" s="24">
        <f t="shared" si="3"/>
        <v>0</v>
      </c>
      <c r="G35" s="14">
        <v>140</v>
      </c>
      <c r="H35" s="30"/>
      <c r="I35" s="14">
        <f t="shared" si="2"/>
        <v>0</v>
      </c>
      <c r="J35" s="45"/>
      <c r="K35" s="42"/>
    </row>
    <row r="36" spans="1:251" ht="15" customHeight="1">
      <c r="A36" s="129" t="s">
        <v>45</v>
      </c>
      <c r="B36" s="130"/>
      <c r="C36" s="130"/>
      <c r="D36" s="131"/>
      <c r="E36" s="30">
        <v>35</v>
      </c>
      <c r="F36" s="24">
        <f t="shared" si="3"/>
        <v>0</v>
      </c>
      <c r="G36" s="14">
        <v>80</v>
      </c>
      <c r="H36" s="30"/>
      <c r="I36" s="14">
        <f t="shared" si="2"/>
        <v>0</v>
      </c>
      <c r="J36" s="45"/>
      <c r="K36" s="42"/>
    </row>
    <row r="37" spans="1:251" ht="24.9" customHeight="1">
      <c r="A37" s="129" t="s">
        <v>46</v>
      </c>
      <c r="B37" s="130"/>
      <c r="C37" s="130"/>
      <c r="D37" s="131"/>
      <c r="E37" s="30">
        <v>40</v>
      </c>
      <c r="F37" s="24">
        <f t="shared" si="3"/>
        <v>0</v>
      </c>
      <c r="G37" s="14">
        <v>80</v>
      </c>
      <c r="H37" s="30"/>
      <c r="I37" s="14">
        <f t="shared" si="2"/>
        <v>0</v>
      </c>
      <c r="J37" s="45"/>
      <c r="K37" s="42"/>
    </row>
    <row r="38" spans="1:251" ht="15" customHeight="1">
      <c r="A38" s="129" t="s">
        <v>47</v>
      </c>
      <c r="B38" s="130"/>
      <c r="C38" s="130"/>
      <c r="D38" s="131"/>
      <c r="E38" s="30">
        <v>20</v>
      </c>
      <c r="F38" s="24">
        <f t="shared" si="3"/>
        <v>0</v>
      </c>
      <c r="G38" s="14">
        <v>105</v>
      </c>
      <c r="H38" s="30"/>
      <c r="I38" s="14">
        <f t="shared" si="2"/>
        <v>0</v>
      </c>
      <c r="J38" s="45"/>
      <c r="K38" s="42"/>
    </row>
    <row r="39" spans="1:251" ht="15" customHeight="1">
      <c r="A39" s="129" t="s">
        <v>48</v>
      </c>
      <c r="B39" s="130"/>
      <c r="C39" s="130"/>
      <c r="D39" s="131"/>
      <c r="E39" s="30">
        <v>25</v>
      </c>
      <c r="F39" s="24">
        <f t="shared" si="3"/>
        <v>0</v>
      </c>
      <c r="G39" s="14">
        <v>150</v>
      </c>
      <c r="H39" s="30"/>
      <c r="I39" s="14">
        <f t="shared" si="2"/>
        <v>0</v>
      </c>
      <c r="J39" s="45"/>
      <c r="K39" s="42"/>
    </row>
    <row r="40" spans="1:251" ht="24.9" customHeight="1">
      <c r="A40" s="140" t="s">
        <v>49</v>
      </c>
      <c r="B40" s="141"/>
      <c r="C40" s="141"/>
      <c r="D40" s="141"/>
      <c r="E40" s="30">
        <v>25</v>
      </c>
      <c r="F40" s="24">
        <f t="shared" si="3"/>
        <v>0</v>
      </c>
      <c r="G40" s="14">
        <v>220</v>
      </c>
      <c r="H40" s="30"/>
      <c r="I40" s="14">
        <f t="shared" si="2"/>
        <v>0</v>
      </c>
      <c r="J40" s="45"/>
      <c r="K40" s="42"/>
    </row>
    <row r="41" spans="1:251" ht="15" customHeight="1">
      <c r="A41" s="140" t="s">
        <v>50</v>
      </c>
      <c r="B41" s="141"/>
      <c r="C41" s="141"/>
      <c r="D41" s="141"/>
      <c r="E41" s="30">
        <v>20</v>
      </c>
      <c r="F41" s="24">
        <f t="shared" si="3"/>
        <v>0</v>
      </c>
      <c r="G41" s="14">
        <v>120</v>
      </c>
      <c r="H41" s="30"/>
      <c r="I41" s="14">
        <f t="shared" si="2"/>
        <v>0</v>
      </c>
      <c r="J41" s="45"/>
      <c r="K41" s="42"/>
    </row>
    <row r="42" spans="1:251" ht="15" customHeight="1">
      <c r="A42" s="129" t="s">
        <v>51</v>
      </c>
      <c r="B42" s="130"/>
      <c r="C42" s="130"/>
      <c r="D42" s="131"/>
      <c r="E42" s="23">
        <v>21</v>
      </c>
      <c r="F42" s="24">
        <f t="shared" si="3"/>
        <v>0</v>
      </c>
      <c r="G42" s="14">
        <v>35</v>
      </c>
      <c r="H42" s="30"/>
      <c r="I42" s="14">
        <f t="shared" si="2"/>
        <v>0</v>
      </c>
      <c r="J42" s="45"/>
      <c r="K42" s="42"/>
    </row>
    <row r="43" spans="1:251" ht="15" customHeight="1">
      <c r="A43" s="129" t="s">
        <v>52</v>
      </c>
      <c r="B43" s="130"/>
      <c r="C43" s="130"/>
      <c r="D43" s="131"/>
      <c r="E43" s="30">
        <v>12</v>
      </c>
      <c r="F43" s="24">
        <f t="shared" si="3"/>
        <v>0</v>
      </c>
      <c r="G43" s="24">
        <v>105</v>
      </c>
      <c r="H43" s="30"/>
      <c r="I43" s="14">
        <f t="shared" si="2"/>
        <v>0</v>
      </c>
      <c r="J43" s="24"/>
      <c r="K43" s="42"/>
    </row>
    <row r="44" spans="1:251" ht="15" customHeight="1">
      <c r="A44" s="129" t="s">
        <v>53</v>
      </c>
      <c r="B44" s="130"/>
      <c r="C44" s="130"/>
      <c r="D44" s="131"/>
      <c r="E44" s="30">
        <v>12</v>
      </c>
      <c r="F44" s="24">
        <f t="shared" si="3"/>
        <v>0</v>
      </c>
      <c r="G44" s="24">
        <v>45</v>
      </c>
      <c r="H44" s="30"/>
      <c r="I44" s="14">
        <f t="shared" si="2"/>
        <v>0</v>
      </c>
      <c r="J44" s="24"/>
      <c r="K44" s="42"/>
    </row>
    <row r="45" spans="1:251" ht="15" customHeight="1">
      <c r="A45" s="129" t="s">
        <v>54</v>
      </c>
      <c r="B45" s="130"/>
      <c r="C45" s="130"/>
      <c r="D45" s="131"/>
      <c r="E45" s="30">
        <v>12</v>
      </c>
      <c r="F45" s="24">
        <f t="shared" si="3"/>
        <v>0</v>
      </c>
      <c r="G45" s="24">
        <v>45</v>
      </c>
      <c r="H45" s="30"/>
      <c r="I45" s="14">
        <f t="shared" si="2"/>
        <v>0</v>
      </c>
      <c r="J45" s="24"/>
      <c r="K45" s="42"/>
    </row>
    <row r="46" spans="1:251" ht="15" customHeight="1">
      <c r="A46" s="142" t="s">
        <v>55</v>
      </c>
      <c r="B46" s="143"/>
      <c r="C46" s="143"/>
      <c r="D46" s="144"/>
      <c r="E46" s="38">
        <v>20</v>
      </c>
      <c r="F46" s="39">
        <f t="shared" si="3"/>
        <v>0</v>
      </c>
      <c r="G46" s="39">
        <v>50</v>
      </c>
      <c r="H46" s="38"/>
      <c r="I46" s="39">
        <f t="shared" si="2"/>
        <v>0</v>
      </c>
      <c r="J46" s="39"/>
      <c r="K46" s="42"/>
    </row>
    <row r="47" spans="1:251" ht="15" customHeight="1">
      <c r="A47" s="145" t="s">
        <v>56</v>
      </c>
      <c r="B47" s="146"/>
      <c r="C47" s="146"/>
      <c r="D47" s="147"/>
      <c r="E47" s="40">
        <v>24</v>
      </c>
      <c r="F47" s="41">
        <f t="shared" ref="F47:F48" si="6">E47*H47/$D$10</f>
        <v>0</v>
      </c>
      <c r="G47" s="41">
        <v>80</v>
      </c>
      <c r="H47" s="40"/>
      <c r="I47" s="41">
        <f t="shared" ref="I47:I48" si="7">H47*G47</f>
        <v>0</v>
      </c>
      <c r="J47" s="41"/>
      <c r="K47" s="42"/>
    </row>
    <row r="48" spans="1:251" ht="22.5" customHeight="1">
      <c r="A48" s="145" t="s">
        <v>57</v>
      </c>
      <c r="B48" s="146"/>
      <c r="C48" s="146"/>
      <c r="D48" s="147"/>
      <c r="E48" s="40">
        <v>23</v>
      </c>
      <c r="F48" s="41">
        <f t="shared" si="6"/>
        <v>0</v>
      </c>
      <c r="G48" s="41">
        <v>105</v>
      </c>
      <c r="H48" s="40"/>
      <c r="I48" s="41">
        <f t="shared" si="7"/>
        <v>0</v>
      </c>
      <c r="J48" s="41"/>
      <c r="K48" s="42"/>
    </row>
    <row r="49" spans="1:55" ht="15" customHeight="1">
      <c r="A49" s="148" t="s">
        <v>58</v>
      </c>
      <c r="B49" s="149"/>
      <c r="C49" s="149"/>
      <c r="D49" s="150"/>
      <c r="E49" s="23">
        <v>15</v>
      </c>
      <c r="F49" s="24">
        <f t="shared" si="3"/>
        <v>0</v>
      </c>
      <c r="G49" s="14">
        <v>55</v>
      </c>
      <c r="H49" s="30"/>
      <c r="I49" s="14">
        <f t="shared" si="2"/>
        <v>0</v>
      </c>
      <c r="J49" s="45"/>
      <c r="K49" s="42"/>
    </row>
    <row r="50" spans="1:55" ht="15" customHeight="1">
      <c r="A50" s="129" t="s">
        <v>59</v>
      </c>
      <c r="B50" s="130"/>
      <c r="C50" s="130"/>
      <c r="D50" s="131"/>
      <c r="E50" s="30">
        <v>30</v>
      </c>
      <c r="F50" s="24">
        <f t="shared" si="3"/>
        <v>0</v>
      </c>
      <c r="G50" s="14">
        <v>100</v>
      </c>
      <c r="H50" s="30"/>
      <c r="I50" s="14">
        <f t="shared" si="2"/>
        <v>0</v>
      </c>
      <c r="J50" s="45"/>
      <c r="K50" s="42"/>
    </row>
    <row r="51" spans="1:55" ht="15" customHeight="1">
      <c r="A51" s="140" t="s">
        <v>60</v>
      </c>
      <c r="B51" s="141"/>
      <c r="C51" s="141"/>
      <c r="D51" s="141"/>
      <c r="E51" s="30">
        <v>20</v>
      </c>
      <c r="F51" s="24">
        <f t="shared" si="3"/>
        <v>0</v>
      </c>
      <c r="G51" s="14">
        <v>170</v>
      </c>
      <c r="H51" s="30"/>
      <c r="I51" s="14">
        <f t="shared" si="2"/>
        <v>0</v>
      </c>
      <c r="J51" s="46" t="s">
        <v>61</v>
      </c>
      <c r="K51" s="42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</row>
    <row r="52" spans="1:55" ht="15" customHeight="1">
      <c r="A52" s="140" t="s">
        <v>62</v>
      </c>
      <c r="B52" s="141"/>
      <c r="C52" s="141"/>
      <c r="D52" s="141"/>
      <c r="E52" s="30">
        <v>19</v>
      </c>
      <c r="F52" s="24">
        <f t="shared" si="3"/>
        <v>0</v>
      </c>
      <c r="G52" s="14">
        <v>95</v>
      </c>
      <c r="H52" s="30"/>
      <c r="I52" s="14">
        <f t="shared" si="2"/>
        <v>0</v>
      </c>
      <c r="J52" s="46" t="s">
        <v>63</v>
      </c>
      <c r="K52" s="42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</row>
    <row r="53" spans="1:55" ht="15" customHeight="1">
      <c r="A53" s="140" t="s">
        <v>64</v>
      </c>
      <c r="B53" s="141"/>
      <c r="C53" s="141"/>
      <c r="D53" s="141"/>
      <c r="E53" s="30">
        <v>15</v>
      </c>
      <c r="F53" s="24">
        <f t="shared" si="3"/>
        <v>0</v>
      </c>
      <c r="G53" s="14">
        <v>50</v>
      </c>
      <c r="H53" s="30"/>
      <c r="I53" s="14">
        <f t="shared" si="2"/>
        <v>0</v>
      </c>
      <c r="J53" s="45"/>
      <c r="K53" s="42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</row>
    <row r="54" spans="1:55" ht="15" customHeight="1">
      <c r="A54" s="140" t="s">
        <v>65</v>
      </c>
      <c r="B54" s="141"/>
      <c r="C54" s="141"/>
      <c r="D54" s="141"/>
      <c r="E54" s="30">
        <v>15</v>
      </c>
      <c r="F54" s="24">
        <f t="shared" si="3"/>
        <v>0</v>
      </c>
      <c r="G54" s="14">
        <v>45</v>
      </c>
      <c r="H54" s="30"/>
      <c r="I54" s="14">
        <f t="shared" si="2"/>
        <v>0</v>
      </c>
      <c r="J54" s="46" t="s">
        <v>61</v>
      </c>
      <c r="K54" s="42"/>
    </row>
    <row r="55" spans="1:55" ht="15" customHeight="1">
      <c r="A55" s="140" t="s">
        <v>66</v>
      </c>
      <c r="B55" s="141"/>
      <c r="C55" s="141"/>
      <c r="D55" s="141"/>
      <c r="E55" s="30">
        <v>18</v>
      </c>
      <c r="F55" s="24">
        <f t="shared" si="3"/>
        <v>0</v>
      </c>
      <c r="G55" s="14">
        <v>70</v>
      </c>
      <c r="H55" s="30"/>
      <c r="I55" s="14">
        <f t="shared" si="2"/>
        <v>0</v>
      </c>
      <c r="J55" s="45"/>
      <c r="K55" s="42"/>
    </row>
    <row r="56" spans="1:55" ht="15" customHeight="1">
      <c r="A56" s="104" t="s">
        <v>67</v>
      </c>
      <c r="B56" s="105"/>
      <c r="C56" s="105"/>
      <c r="D56" s="105"/>
      <c r="E56" s="105"/>
      <c r="F56" s="105"/>
      <c r="G56" s="105"/>
      <c r="H56" s="105"/>
      <c r="I56" s="105"/>
      <c r="J56" s="105"/>
      <c r="K56" s="42"/>
    </row>
    <row r="57" spans="1:55" ht="24.9" customHeight="1">
      <c r="A57" s="112" t="s">
        <v>18</v>
      </c>
      <c r="B57" s="113"/>
      <c r="C57" s="113"/>
      <c r="D57" s="113"/>
      <c r="E57" s="12" t="s">
        <v>19</v>
      </c>
      <c r="F57" s="12" t="s">
        <v>20</v>
      </c>
      <c r="G57" s="12" t="s">
        <v>21</v>
      </c>
      <c r="H57" s="12" t="s">
        <v>22</v>
      </c>
      <c r="I57" s="12" t="s">
        <v>23</v>
      </c>
      <c r="J57" s="12"/>
      <c r="K57" s="42"/>
    </row>
    <row r="58" spans="1:55" ht="39.9" customHeight="1">
      <c r="A58" s="129" t="s">
        <v>68</v>
      </c>
      <c r="B58" s="130"/>
      <c r="C58" s="130"/>
      <c r="D58" s="131"/>
      <c r="E58" s="30">
        <v>19</v>
      </c>
      <c r="F58" s="24">
        <f t="shared" ref="F58:F74" si="8">E58*H58/$D$10</f>
        <v>0</v>
      </c>
      <c r="G58" s="30">
        <v>70</v>
      </c>
      <c r="H58" s="30"/>
      <c r="I58" s="30">
        <f t="shared" ref="I58:I74" si="9">H58*G58</f>
        <v>0</v>
      </c>
      <c r="J58" s="47"/>
      <c r="K58" s="42"/>
    </row>
    <row r="59" spans="1:55" ht="15" customHeight="1">
      <c r="A59" s="129" t="s">
        <v>69</v>
      </c>
      <c r="B59" s="130"/>
      <c r="C59" s="130"/>
      <c r="D59" s="131"/>
      <c r="E59" s="30">
        <v>22</v>
      </c>
      <c r="F59" s="24">
        <f t="shared" si="8"/>
        <v>0</v>
      </c>
      <c r="G59" s="30">
        <v>40</v>
      </c>
      <c r="H59" s="30"/>
      <c r="I59" s="30">
        <f t="shared" si="9"/>
        <v>0</v>
      </c>
      <c r="J59" s="47"/>
      <c r="K59" s="42"/>
    </row>
    <row r="60" spans="1:55" ht="15" customHeight="1">
      <c r="A60" s="148" t="s">
        <v>70</v>
      </c>
      <c r="B60" s="149"/>
      <c r="C60" s="149"/>
      <c r="D60" s="150"/>
      <c r="E60" s="25">
        <v>22</v>
      </c>
      <c r="F60" s="24">
        <f t="shared" si="8"/>
        <v>0</v>
      </c>
      <c r="G60" s="30">
        <v>35</v>
      </c>
      <c r="H60" s="30"/>
      <c r="I60" s="30">
        <f t="shared" si="9"/>
        <v>0</v>
      </c>
      <c r="J60" s="47"/>
      <c r="K60" s="42"/>
    </row>
    <row r="61" spans="1:55" ht="15" customHeight="1">
      <c r="A61" s="148" t="s">
        <v>71</v>
      </c>
      <c r="B61" s="149"/>
      <c r="C61" s="149"/>
      <c r="D61" s="150"/>
      <c r="E61" s="25">
        <v>17</v>
      </c>
      <c r="F61" s="24">
        <f t="shared" si="8"/>
        <v>0</v>
      </c>
      <c r="G61" s="14">
        <v>35</v>
      </c>
      <c r="H61" s="23"/>
      <c r="I61" s="30">
        <f t="shared" si="9"/>
        <v>0</v>
      </c>
      <c r="J61" s="45"/>
      <c r="K61" s="42"/>
    </row>
    <row r="62" spans="1:55" ht="15" customHeight="1">
      <c r="A62" s="148" t="s">
        <v>72</v>
      </c>
      <c r="B62" s="149"/>
      <c r="C62" s="149"/>
      <c r="D62" s="150"/>
      <c r="E62" s="25">
        <v>18</v>
      </c>
      <c r="F62" s="24">
        <f t="shared" si="8"/>
        <v>0</v>
      </c>
      <c r="G62" s="14">
        <v>35</v>
      </c>
      <c r="H62" s="25"/>
      <c r="I62" s="30">
        <f t="shared" si="9"/>
        <v>0</v>
      </c>
      <c r="J62" s="45"/>
      <c r="K62" s="42"/>
    </row>
    <row r="63" spans="1:55" ht="15" customHeight="1">
      <c r="A63" s="148" t="s">
        <v>73</v>
      </c>
      <c r="B63" s="149"/>
      <c r="C63" s="149"/>
      <c r="D63" s="150"/>
      <c r="E63" s="25">
        <v>17</v>
      </c>
      <c r="F63" s="24">
        <f t="shared" si="8"/>
        <v>0</v>
      </c>
      <c r="G63" s="14">
        <v>35</v>
      </c>
      <c r="H63" s="25"/>
      <c r="I63" s="30">
        <f t="shared" si="9"/>
        <v>0</v>
      </c>
      <c r="J63" s="45"/>
      <c r="K63" s="42"/>
    </row>
    <row r="64" spans="1:55" ht="15" customHeight="1">
      <c r="A64" s="148" t="s">
        <v>74</v>
      </c>
      <c r="B64" s="149"/>
      <c r="C64" s="149"/>
      <c r="D64" s="150"/>
      <c r="E64" s="25">
        <v>10</v>
      </c>
      <c r="F64" s="24">
        <f t="shared" si="8"/>
        <v>0</v>
      </c>
      <c r="G64" s="14">
        <v>30</v>
      </c>
      <c r="H64" s="25"/>
      <c r="I64" s="30">
        <f t="shared" si="9"/>
        <v>0</v>
      </c>
      <c r="J64" s="45"/>
      <c r="K64" s="42"/>
    </row>
    <row r="65" spans="1:243" ht="24.9" customHeight="1">
      <c r="A65" s="148" t="s">
        <v>75</v>
      </c>
      <c r="B65" s="149"/>
      <c r="C65" s="149"/>
      <c r="D65" s="150"/>
      <c r="E65" s="25">
        <v>19</v>
      </c>
      <c r="F65" s="24">
        <f t="shared" si="8"/>
        <v>0</v>
      </c>
      <c r="G65" s="14">
        <v>55</v>
      </c>
      <c r="H65" s="25"/>
      <c r="I65" s="30">
        <f t="shared" si="9"/>
        <v>0</v>
      </c>
      <c r="J65" s="45"/>
      <c r="K65" s="42"/>
    </row>
    <row r="66" spans="1:243" ht="15" customHeight="1">
      <c r="A66" s="148" t="s">
        <v>76</v>
      </c>
      <c r="B66" s="149"/>
      <c r="C66" s="149"/>
      <c r="D66" s="150"/>
      <c r="E66" s="25">
        <v>19</v>
      </c>
      <c r="F66" s="24">
        <f t="shared" si="8"/>
        <v>0</v>
      </c>
      <c r="G66" s="14">
        <v>55</v>
      </c>
      <c r="H66" s="25"/>
      <c r="I66" s="30">
        <f t="shared" si="9"/>
        <v>0</v>
      </c>
      <c r="J66" s="45"/>
      <c r="K66" s="42"/>
    </row>
    <row r="67" spans="1:243" ht="30" customHeight="1">
      <c r="A67" s="148" t="s">
        <v>77</v>
      </c>
      <c r="B67" s="149"/>
      <c r="C67" s="149"/>
      <c r="D67" s="150"/>
      <c r="E67" s="25">
        <v>35</v>
      </c>
      <c r="F67" s="24">
        <f t="shared" si="8"/>
        <v>0</v>
      </c>
      <c r="G67" s="14">
        <v>90</v>
      </c>
      <c r="H67" s="23"/>
      <c r="I67" s="30">
        <f t="shared" si="9"/>
        <v>0</v>
      </c>
      <c r="J67" s="45"/>
      <c r="K67" s="42"/>
    </row>
    <row r="68" spans="1:243" ht="15" customHeight="1">
      <c r="A68" s="151" t="s">
        <v>78</v>
      </c>
      <c r="B68" s="152"/>
      <c r="C68" s="152"/>
      <c r="D68" s="153"/>
      <c r="E68" s="25">
        <v>15</v>
      </c>
      <c r="F68" s="24">
        <f t="shared" si="8"/>
        <v>0</v>
      </c>
      <c r="G68" s="14">
        <v>80</v>
      </c>
      <c r="H68" s="25"/>
      <c r="I68" s="30">
        <f t="shared" si="9"/>
        <v>0</v>
      </c>
      <c r="J68" s="45"/>
      <c r="K68" s="42"/>
    </row>
    <row r="69" spans="1:243" ht="15" customHeight="1">
      <c r="A69" s="151" t="s">
        <v>79</v>
      </c>
      <c r="B69" s="152"/>
      <c r="C69" s="152"/>
      <c r="D69" s="153"/>
      <c r="E69" s="25">
        <v>15</v>
      </c>
      <c r="F69" s="24">
        <f t="shared" ref="F69:F70" si="10">E69*H69/$D$10</f>
        <v>0</v>
      </c>
      <c r="G69" s="14">
        <v>110</v>
      </c>
      <c r="H69" s="25"/>
      <c r="I69" s="30">
        <f t="shared" ref="I69:I70" si="11">H69*G69</f>
        <v>0</v>
      </c>
      <c r="J69" s="45"/>
      <c r="K69" s="42"/>
    </row>
    <row r="70" spans="1:243" ht="15" customHeight="1">
      <c r="A70" s="151" t="s">
        <v>80</v>
      </c>
      <c r="B70" s="152"/>
      <c r="C70" s="152"/>
      <c r="D70" s="153"/>
      <c r="E70" s="25">
        <v>15</v>
      </c>
      <c r="F70" s="24">
        <f t="shared" si="10"/>
        <v>0</v>
      </c>
      <c r="G70" s="14">
        <v>110</v>
      </c>
      <c r="H70" s="25"/>
      <c r="I70" s="30">
        <f t="shared" si="11"/>
        <v>0</v>
      </c>
      <c r="J70" s="45"/>
      <c r="K70" s="42"/>
    </row>
    <row r="71" spans="1:243" s="3" customFormat="1" ht="69.900000000000006" customHeight="1">
      <c r="A71" s="154" t="s">
        <v>81</v>
      </c>
      <c r="B71" s="155"/>
      <c r="C71" s="155"/>
      <c r="D71" s="155"/>
      <c r="E71" s="26">
        <v>15</v>
      </c>
      <c r="F71" s="24">
        <f t="shared" si="8"/>
        <v>0</v>
      </c>
      <c r="G71" s="24">
        <v>110</v>
      </c>
      <c r="H71" s="26"/>
      <c r="I71" s="30">
        <f t="shared" si="9"/>
        <v>0</v>
      </c>
      <c r="J71" s="24"/>
      <c r="K71" s="42"/>
      <c r="L71" s="48"/>
      <c r="M71" s="57"/>
      <c r="N71" s="57"/>
      <c r="O71" s="57"/>
      <c r="P71" s="57"/>
      <c r="Q71" s="48"/>
      <c r="R71" s="48"/>
      <c r="S71" s="48"/>
      <c r="T71" s="48"/>
      <c r="U71" s="48"/>
      <c r="V71" s="57"/>
      <c r="W71" s="57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48"/>
      <c r="FJ71" s="48"/>
      <c r="FK71" s="48"/>
      <c r="FL71" s="48"/>
      <c r="FM71" s="48"/>
      <c r="FN71" s="48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8"/>
      <c r="GG71" s="48"/>
      <c r="GH71" s="48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8"/>
      <c r="HM71" s="48"/>
      <c r="HN71" s="48"/>
      <c r="HO71" s="48"/>
      <c r="HP71" s="48"/>
      <c r="HQ71" s="48"/>
      <c r="HR71" s="48"/>
      <c r="HS71" s="48"/>
      <c r="HT71" s="48"/>
      <c r="HU71" s="48"/>
      <c r="HV71" s="48"/>
      <c r="HW71" s="48"/>
      <c r="HX71" s="48"/>
      <c r="HY71" s="48"/>
      <c r="HZ71" s="48"/>
      <c r="IA71" s="48"/>
      <c r="IB71" s="48"/>
      <c r="IC71" s="48"/>
      <c r="ID71" s="48"/>
      <c r="IE71" s="48"/>
      <c r="IF71" s="48"/>
      <c r="IG71" s="48"/>
      <c r="IH71" s="48"/>
      <c r="II71" s="48"/>
    </row>
    <row r="72" spans="1:243" s="3" customFormat="1" ht="39.9" customHeight="1">
      <c r="A72" s="124" t="s">
        <v>82</v>
      </c>
      <c r="B72" s="125"/>
      <c r="C72" s="125"/>
      <c r="D72" s="125"/>
      <c r="E72" s="25">
        <v>12</v>
      </c>
      <c r="F72" s="24">
        <f t="shared" si="8"/>
        <v>0</v>
      </c>
      <c r="G72" s="45">
        <v>110</v>
      </c>
      <c r="H72" s="25"/>
      <c r="I72" s="23">
        <f t="shared" si="9"/>
        <v>0</v>
      </c>
      <c r="J72" s="45"/>
      <c r="K72" s="42"/>
      <c r="L72" s="48"/>
      <c r="M72" s="48"/>
      <c r="N72" s="48"/>
      <c r="O72" s="48"/>
      <c r="P72" s="48"/>
      <c r="Q72" s="57"/>
      <c r="R72" s="57"/>
      <c r="S72" s="57"/>
      <c r="T72" s="57"/>
      <c r="U72" s="57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48"/>
      <c r="FJ72" s="48"/>
      <c r="FK72" s="48"/>
      <c r="FL72" s="48"/>
      <c r="FM72" s="48"/>
      <c r="FN72" s="48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/>
      <c r="GC72" s="48"/>
      <c r="GD72" s="48"/>
      <c r="GE72" s="48"/>
      <c r="GF72" s="48"/>
      <c r="GG72" s="48"/>
      <c r="GH72" s="48"/>
      <c r="GI72" s="48"/>
      <c r="GJ72" s="48"/>
      <c r="GK72" s="48"/>
      <c r="GL72" s="48"/>
      <c r="GM72" s="48"/>
      <c r="GN72" s="48"/>
      <c r="GO72" s="48"/>
      <c r="GP72" s="48"/>
      <c r="GQ72" s="48"/>
      <c r="GR72" s="48"/>
      <c r="GS72" s="48"/>
      <c r="GT72" s="48"/>
      <c r="GU72" s="48"/>
      <c r="GV72" s="48"/>
      <c r="GW72" s="48"/>
      <c r="GX72" s="48"/>
      <c r="GY72" s="48"/>
      <c r="GZ72" s="48"/>
      <c r="HA72" s="48"/>
      <c r="HB72" s="48"/>
      <c r="HC72" s="48"/>
      <c r="HD72" s="48"/>
      <c r="HE72" s="48"/>
      <c r="HF72" s="48"/>
      <c r="HG72" s="48"/>
      <c r="HH72" s="48"/>
      <c r="HI72" s="48"/>
      <c r="HJ72" s="48"/>
      <c r="HK72" s="48"/>
      <c r="HL72" s="48"/>
      <c r="HM72" s="48"/>
      <c r="HN72" s="48"/>
      <c r="HO72" s="48"/>
      <c r="HP72" s="48"/>
      <c r="HQ72" s="48"/>
      <c r="HR72" s="48"/>
      <c r="HS72" s="48"/>
      <c r="HT72" s="48"/>
      <c r="HU72" s="48"/>
      <c r="HV72" s="48"/>
      <c r="HW72" s="48"/>
      <c r="HX72" s="48"/>
      <c r="HY72" s="48"/>
      <c r="HZ72" s="48"/>
      <c r="IA72" s="48"/>
      <c r="IB72" s="48"/>
      <c r="IC72" s="48"/>
      <c r="ID72" s="48"/>
      <c r="IE72" s="48"/>
      <c r="IF72" s="48"/>
      <c r="IG72" s="48"/>
      <c r="IH72" s="48"/>
      <c r="II72" s="48"/>
    </row>
    <row r="73" spans="1:243" ht="15" customHeight="1">
      <c r="A73" s="148" t="s">
        <v>83</v>
      </c>
      <c r="B73" s="149"/>
      <c r="C73" s="149"/>
      <c r="D73" s="150"/>
      <c r="E73" s="25">
        <v>15</v>
      </c>
      <c r="F73" s="24">
        <f t="shared" si="8"/>
        <v>0</v>
      </c>
      <c r="G73" s="14">
        <v>90</v>
      </c>
      <c r="H73" s="23"/>
      <c r="I73" s="30">
        <f t="shared" si="9"/>
        <v>0</v>
      </c>
      <c r="J73" s="45"/>
      <c r="K73" s="42"/>
    </row>
    <row r="74" spans="1:243" ht="15" customHeight="1">
      <c r="A74" s="52" t="s">
        <v>84</v>
      </c>
      <c r="B74" s="53"/>
      <c r="C74" s="53"/>
      <c r="D74" s="54"/>
      <c r="E74" s="55">
        <v>5</v>
      </c>
      <c r="F74" s="24">
        <f t="shared" si="8"/>
        <v>0</v>
      </c>
      <c r="G74" s="14">
        <v>10</v>
      </c>
      <c r="H74" s="23"/>
      <c r="I74" s="30">
        <f t="shared" si="9"/>
        <v>0</v>
      </c>
      <c r="J74" s="45"/>
      <c r="K74" s="42"/>
    </row>
    <row r="75" spans="1:243" ht="15" customHeight="1">
      <c r="A75" s="118" t="s">
        <v>85</v>
      </c>
      <c r="B75" s="119"/>
      <c r="C75" s="119"/>
      <c r="D75" s="119"/>
      <c r="E75" s="119"/>
      <c r="F75" s="119"/>
      <c r="G75" s="119"/>
      <c r="H75" s="119"/>
      <c r="I75" s="119"/>
      <c r="J75" s="120"/>
      <c r="K75" s="42"/>
    </row>
    <row r="76" spans="1:243" ht="24.9" customHeight="1">
      <c r="A76" s="156" t="s">
        <v>18</v>
      </c>
      <c r="B76" s="157"/>
      <c r="C76" s="157"/>
      <c r="D76" s="158"/>
      <c r="E76" s="12" t="s">
        <v>19</v>
      </c>
      <c r="F76" s="12" t="s">
        <v>20</v>
      </c>
      <c r="G76" s="12" t="s">
        <v>21</v>
      </c>
      <c r="H76" s="12" t="s">
        <v>22</v>
      </c>
      <c r="I76" s="12" t="s">
        <v>23</v>
      </c>
      <c r="J76" s="12"/>
      <c r="K76" s="42"/>
    </row>
    <row r="77" spans="1:243" ht="15" customHeight="1">
      <c r="A77" s="129" t="s">
        <v>86</v>
      </c>
      <c r="B77" s="130"/>
      <c r="C77" s="130"/>
      <c r="D77" s="131"/>
      <c r="E77" s="30">
        <v>30</v>
      </c>
      <c r="F77" s="24">
        <f t="shared" ref="F77:F86" si="12">E77*H77/$D$10</f>
        <v>0</v>
      </c>
      <c r="G77" s="14">
        <v>100</v>
      </c>
      <c r="H77" s="30"/>
      <c r="I77" s="14">
        <f t="shared" ref="I77:I86" si="13">H77*G77</f>
        <v>0</v>
      </c>
      <c r="J77" s="45"/>
      <c r="K77" s="42"/>
    </row>
    <row r="78" spans="1:243" ht="24.9" customHeight="1">
      <c r="A78" s="140" t="s">
        <v>87</v>
      </c>
      <c r="B78" s="141"/>
      <c r="C78" s="141"/>
      <c r="D78" s="141"/>
      <c r="E78" s="30">
        <v>45</v>
      </c>
      <c r="F78" s="24">
        <f t="shared" si="12"/>
        <v>0</v>
      </c>
      <c r="G78" s="14">
        <v>145</v>
      </c>
      <c r="H78" s="30"/>
      <c r="I78" s="14">
        <f t="shared" si="13"/>
        <v>0</v>
      </c>
      <c r="J78" s="45"/>
      <c r="K78" s="42"/>
    </row>
    <row r="79" spans="1:243" ht="15" customHeight="1">
      <c r="A79" s="140" t="s">
        <v>88</v>
      </c>
      <c r="B79" s="141"/>
      <c r="C79" s="141"/>
      <c r="D79" s="141"/>
      <c r="E79" s="30">
        <v>45</v>
      </c>
      <c r="F79" s="24">
        <f t="shared" si="12"/>
        <v>0</v>
      </c>
      <c r="G79" s="14">
        <v>210</v>
      </c>
      <c r="H79" s="30"/>
      <c r="I79" s="14">
        <f t="shared" si="13"/>
        <v>0</v>
      </c>
      <c r="J79" s="45"/>
      <c r="K79" s="42"/>
    </row>
    <row r="80" spans="1:243" ht="15" customHeight="1">
      <c r="A80" s="140" t="s">
        <v>89</v>
      </c>
      <c r="B80" s="141"/>
      <c r="C80" s="141"/>
      <c r="D80" s="141"/>
      <c r="E80" s="30">
        <v>50</v>
      </c>
      <c r="F80" s="24">
        <f t="shared" si="12"/>
        <v>0</v>
      </c>
      <c r="G80" s="14">
        <v>110</v>
      </c>
      <c r="H80" s="30"/>
      <c r="I80" s="14">
        <f t="shared" si="13"/>
        <v>0</v>
      </c>
      <c r="J80" s="45"/>
      <c r="K80" s="42"/>
    </row>
    <row r="81" spans="1:251" ht="15" customHeight="1">
      <c r="A81" s="159" t="s">
        <v>90</v>
      </c>
      <c r="B81" s="116"/>
      <c r="C81" s="116"/>
      <c r="D81" s="116"/>
      <c r="E81" s="19">
        <v>25</v>
      </c>
      <c r="F81" s="24">
        <f t="shared" si="12"/>
        <v>0</v>
      </c>
      <c r="G81" s="14">
        <v>220</v>
      </c>
      <c r="H81" s="19"/>
      <c r="I81" s="14">
        <f t="shared" si="13"/>
        <v>0</v>
      </c>
      <c r="J81" s="45"/>
      <c r="K81" s="42"/>
    </row>
    <row r="82" spans="1:251" ht="15" customHeight="1">
      <c r="A82" s="140" t="s">
        <v>91</v>
      </c>
      <c r="B82" s="141"/>
      <c r="C82" s="141"/>
      <c r="D82" s="141"/>
      <c r="E82" s="30">
        <v>20</v>
      </c>
      <c r="F82" s="24">
        <f t="shared" si="12"/>
        <v>0</v>
      </c>
      <c r="G82" s="14">
        <v>230</v>
      </c>
      <c r="H82" s="30"/>
      <c r="I82" s="14">
        <f t="shared" si="13"/>
        <v>0</v>
      </c>
      <c r="J82" s="45"/>
      <c r="K82" s="42"/>
    </row>
    <row r="83" spans="1:251" ht="15" customHeight="1">
      <c r="A83" s="140" t="s">
        <v>92</v>
      </c>
      <c r="B83" s="141"/>
      <c r="C83" s="141"/>
      <c r="D83" s="141"/>
      <c r="E83" s="30">
        <v>35</v>
      </c>
      <c r="F83" s="24">
        <f t="shared" si="12"/>
        <v>0</v>
      </c>
      <c r="G83" s="14">
        <v>170</v>
      </c>
      <c r="H83" s="30"/>
      <c r="I83" s="14">
        <f t="shared" si="13"/>
        <v>0</v>
      </c>
      <c r="J83" s="45"/>
      <c r="K83" s="42"/>
    </row>
    <row r="84" spans="1:251" ht="24.9" customHeight="1">
      <c r="A84" s="140" t="s">
        <v>93</v>
      </c>
      <c r="B84" s="141"/>
      <c r="C84" s="141"/>
      <c r="D84" s="141"/>
      <c r="E84" s="30">
        <v>35</v>
      </c>
      <c r="F84" s="24">
        <f t="shared" si="12"/>
        <v>0</v>
      </c>
      <c r="G84" s="14">
        <v>150</v>
      </c>
      <c r="H84" s="30"/>
      <c r="I84" s="14">
        <f t="shared" si="13"/>
        <v>0</v>
      </c>
      <c r="J84" s="45"/>
      <c r="K84" s="42"/>
    </row>
    <row r="85" spans="1:251" ht="24.9" customHeight="1">
      <c r="A85" s="121" t="s">
        <v>94</v>
      </c>
      <c r="B85" s="160"/>
      <c r="C85" s="160"/>
      <c r="D85" s="161"/>
      <c r="E85" s="21">
        <v>25</v>
      </c>
      <c r="F85" s="22">
        <f t="shared" si="12"/>
        <v>0</v>
      </c>
      <c r="G85" s="22">
        <v>80</v>
      </c>
      <c r="H85" s="21"/>
      <c r="I85" s="22">
        <f t="shared" si="13"/>
        <v>0</v>
      </c>
      <c r="J85" s="22"/>
      <c r="K85" s="42"/>
    </row>
    <row r="86" spans="1:251" ht="24.9" customHeight="1">
      <c r="A86" s="121" t="s">
        <v>95</v>
      </c>
      <c r="B86" s="160"/>
      <c r="C86" s="160"/>
      <c r="D86" s="161"/>
      <c r="E86" s="21">
        <v>20</v>
      </c>
      <c r="F86" s="22">
        <f t="shared" si="12"/>
        <v>0</v>
      </c>
      <c r="G86" s="22">
        <v>80</v>
      </c>
      <c r="H86" s="21"/>
      <c r="I86" s="22">
        <f t="shared" si="13"/>
        <v>0</v>
      </c>
      <c r="J86" s="46" t="s">
        <v>96</v>
      </c>
      <c r="K86" s="58"/>
    </row>
    <row r="87" spans="1:251" ht="24.9" customHeight="1">
      <c r="A87" s="140" t="s">
        <v>97</v>
      </c>
      <c r="B87" s="141"/>
      <c r="C87" s="141"/>
      <c r="D87" s="141"/>
      <c r="E87" s="30">
        <v>30</v>
      </c>
      <c r="F87" s="24">
        <f t="shared" ref="F87:F108" si="14">E87*H87/$D$10</f>
        <v>0</v>
      </c>
      <c r="G87" s="14">
        <v>130</v>
      </c>
      <c r="H87" s="30"/>
      <c r="I87" s="14">
        <f t="shared" ref="I87:I108" si="15">H87*G87</f>
        <v>0</v>
      </c>
      <c r="J87" s="45"/>
      <c r="K87" s="59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spans="1:251" ht="24.9" customHeight="1">
      <c r="A88" s="140" t="s">
        <v>98</v>
      </c>
      <c r="B88" s="141"/>
      <c r="C88" s="141"/>
      <c r="D88" s="141"/>
      <c r="E88" s="30">
        <v>30</v>
      </c>
      <c r="F88" s="24">
        <f t="shared" si="14"/>
        <v>0</v>
      </c>
      <c r="G88" s="14">
        <v>160</v>
      </c>
      <c r="H88" s="30"/>
      <c r="I88" s="14">
        <f t="shared" si="15"/>
        <v>0</v>
      </c>
      <c r="J88" s="45"/>
      <c r="K88" s="59"/>
    </row>
    <row r="89" spans="1:251" s="2" customFormat="1" ht="15" customHeight="1">
      <c r="A89" s="148" t="s">
        <v>99</v>
      </c>
      <c r="B89" s="149"/>
      <c r="C89" s="149"/>
      <c r="D89" s="150"/>
      <c r="E89" s="31">
        <v>35</v>
      </c>
      <c r="F89" s="24">
        <f t="shared" si="14"/>
        <v>0</v>
      </c>
      <c r="G89" s="14">
        <v>150</v>
      </c>
      <c r="H89" s="30"/>
      <c r="I89" s="14">
        <f t="shared" si="15"/>
        <v>0</v>
      </c>
      <c r="J89" s="45"/>
      <c r="K89" s="59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</row>
    <row r="90" spans="1:251" ht="15" customHeight="1">
      <c r="A90" s="148" t="s">
        <v>100</v>
      </c>
      <c r="B90" s="149"/>
      <c r="C90" s="149"/>
      <c r="D90" s="150"/>
      <c r="E90" s="31">
        <v>35</v>
      </c>
      <c r="F90" s="24">
        <f t="shared" si="14"/>
        <v>0</v>
      </c>
      <c r="G90" s="14">
        <v>190</v>
      </c>
      <c r="H90" s="30"/>
      <c r="I90" s="14">
        <f t="shared" si="15"/>
        <v>0</v>
      </c>
      <c r="J90" s="45"/>
      <c r="K90" s="59"/>
    </row>
    <row r="91" spans="1:251" ht="24.9" customHeight="1">
      <c r="A91" s="148" t="s">
        <v>101</v>
      </c>
      <c r="B91" s="149"/>
      <c r="C91" s="149"/>
      <c r="D91" s="150"/>
      <c r="E91" s="30">
        <v>36</v>
      </c>
      <c r="F91" s="24">
        <f t="shared" si="14"/>
        <v>0</v>
      </c>
      <c r="G91" s="14">
        <v>115</v>
      </c>
      <c r="H91" s="30"/>
      <c r="I91" s="14">
        <f t="shared" si="15"/>
        <v>0</v>
      </c>
      <c r="J91" s="45"/>
      <c r="K91" s="42"/>
    </row>
    <row r="92" spans="1:251" ht="24.9" customHeight="1">
      <c r="A92" s="121" t="s">
        <v>102</v>
      </c>
      <c r="B92" s="160"/>
      <c r="C92" s="160"/>
      <c r="D92" s="161"/>
      <c r="E92" s="21">
        <v>28</v>
      </c>
      <c r="F92" s="22">
        <f t="shared" si="14"/>
        <v>0</v>
      </c>
      <c r="G92" s="22">
        <v>95</v>
      </c>
      <c r="H92" s="21"/>
      <c r="I92" s="22">
        <f t="shared" si="15"/>
        <v>0</v>
      </c>
      <c r="J92" s="22"/>
      <c r="K92" s="42"/>
    </row>
    <row r="93" spans="1:251" ht="24.9" customHeight="1">
      <c r="A93" s="121" t="s">
        <v>103</v>
      </c>
      <c r="B93" s="160"/>
      <c r="C93" s="160"/>
      <c r="D93" s="161"/>
      <c r="E93" s="21">
        <v>28</v>
      </c>
      <c r="F93" s="22">
        <f t="shared" si="14"/>
        <v>0</v>
      </c>
      <c r="G93" s="22">
        <v>130</v>
      </c>
      <c r="H93" s="21"/>
      <c r="I93" s="22">
        <f t="shared" si="15"/>
        <v>0</v>
      </c>
      <c r="J93" s="22"/>
      <c r="K93" s="42"/>
    </row>
    <row r="94" spans="1:251" ht="24.9" customHeight="1">
      <c r="A94" s="121" t="s">
        <v>104</v>
      </c>
      <c r="B94" s="160"/>
      <c r="C94" s="160"/>
      <c r="D94" s="161"/>
      <c r="E94" s="21">
        <v>40</v>
      </c>
      <c r="F94" s="22">
        <f t="shared" si="14"/>
        <v>0</v>
      </c>
      <c r="G94" s="22">
        <v>90</v>
      </c>
      <c r="H94" s="21"/>
      <c r="I94" s="22">
        <f t="shared" si="15"/>
        <v>0</v>
      </c>
      <c r="J94" s="22"/>
      <c r="K94" s="42"/>
    </row>
    <row r="95" spans="1:251" ht="15" customHeight="1">
      <c r="A95" s="121" t="s">
        <v>105</v>
      </c>
      <c r="B95" s="122"/>
      <c r="C95" s="122"/>
      <c r="D95" s="123"/>
      <c r="E95" s="21">
        <v>28</v>
      </c>
      <c r="F95" s="22">
        <f t="shared" si="14"/>
        <v>0</v>
      </c>
      <c r="G95" s="22">
        <v>70</v>
      </c>
      <c r="H95" s="21"/>
      <c r="I95" s="22">
        <f t="shared" si="15"/>
        <v>0</v>
      </c>
      <c r="J95" s="22"/>
      <c r="K95" s="42"/>
    </row>
    <row r="96" spans="1:251" ht="40" customHeight="1">
      <c r="A96" s="162" t="s">
        <v>324</v>
      </c>
      <c r="B96" s="163"/>
      <c r="C96" s="163"/>
      <c r="D96" s="164"/>
      <c r="E96" s="95">
        <v>40</v>
      </c>
      <c r="F96" s="97">
        <f t="shared" si="14"/>
        <v>0</v>
      </c>
      <c r="G96" s="96">
        <v>270</v>
      </c>
      <c r="H96" s="95"/>
      <c r="I96" s="96">
        <f t="shared" si="15"/>
        <v>0</v>
      </c>
      <c r="J96" s="96"/>
      <c r="K96" s="42"/>
    </row>
    <row r="97" spans="1:11" ht="15" customHeight="1">
      <c r="A97" s="162" t="s">
        <v>312</v>
      </c>
      <c r="B97" s="163"/>
      <c r="C97" s="163"/>
      <c r="D97" s="164"/>
      <c r="E97" s="95">
        <v>20</v>
      </c>
      <c r="F97" s="97">
        <f t="shared" si="14"/>
        <v>0</v>
      </c>
      <c r="G97" s="96">
        <v>150</v>
      </c>
      <c r="H97" s="95"/>
      <c r="I97" s="96">
        <f t="shared" si="15"/>
        <v>0</v>
      </c>
      <c r="J97" s="96" t="s">
        <v>317</v>
      </c>
      <c r="K97" s="42"/>
    </row>
    <row r="98" spans="1:11" ht="15" customHeight="1">
      <c r="A98" s="162" t="s">
        <v>313</v>
      </c>
      <c r="B98" s="163"/>
      <c r="C98" s="163"/>
      <c r="D98" s="164"/>
      <c r="E98" s="95">
        <v>25</v>
      </c>
      <c r="F98" s="97">
        <f t="shared" si="14"/>
        <v>0</v>
      </c>
      <c r="G98" s="96">
        <v>70</v>
      </c>
      <c r="H98" s="95"/>
      <c r="I98" s="96">
        <f t="shared" si="15"/>
        <v>0</v>
      </c>
      <c r="J98" s="96" t="s">
        <v>317</v>
      </c>
      <c r="K98" s="42"/>
    </row>
    <row r="99" spans="1:11" ht="25" customHeight="1">
      <c r="A99" s="162" t="s">
        <v>314</v>
      </c>
      <c r="B99" s="163"/>
      <c r="C99" s="163"/>
      <c r="D99" s="164"/>
      <c r="E99" s="95">
        <v>25</v>
      </c>
      <c r="F99" s="97">
        <f t="shared" si="14"/>
        <v>0</v>
      </c>
      <c r="G99" s="96">
        <v>80</v>
      </c>
      <c r="H99" s="95"/>
      <c r="I99" s="96">
        <f t="shared" si="15"/>
        <v>0</v>
      </c>
      <c r="J99" s="96"/>
      <c r="K99" s="42"/>
    </row>
    <row r="100" spans="1:11" ht="25" customHeight="1">
      <c r="A100" s="162" t="s">
        <v>315</v>
      </c>
      <c r="B100" s="163"/>
      <c r="C100" s="163"/>
      <c r="D100" s="164"/>
      <c r="E100" s="95">
        <v>23</v>
      </c>
      <c r="F100" s="97">
        <f t="shared" si="14"/>
        <v>0</v>
      </c>
      <c r="G100" s="96">
        <v>120</v>
      </c>
      <c r="H100" s="95"/>
      <c r="I100" s="96">
        <f t="shared" si="15"/>
        <v>0</v>
      </c>
      <c r="J100" s="96"/>
      <c r="K100" s="42"/>
    </row>
    <row r="101" spans="1:11" ht="25" customHeight="1">
      <c r="A101" s="162" t="s">
        <v>316</v>
      </c>
      <c r="B101" s="163"/>
      <c r="C101" s="163"/>
      <c r="D101" s="164"/>
      <c r="E101" s="95">
        <v>38</v>
      </c>
      <c r="F101" s="97">
        <f t="shared" si="14"/>
        <v>0</v>
      </c>
      <c r="G101" s="96">
        <v>120</v>
      </c>
      <c r="H101" s="95"/>
      <c r="I101" s="96">
        <f t="shared" si="15"/>
        <v>0</v>
      </c>
      <c r="J101" s="96"/>
      <c r="K101" s="42"/>
    </row>
    <row r="102" spans="1:11" ht="25" customHeight="1">
      <c r="A102" s="162" t="s">
        <v>318</v>
      </c>
      <c r="B102" s="163"/>
      <c r="C102" s="163"/>
      <c r="D102" s="164"/>
      <c r="E102" s="95">
        <v>16</v>
      </c>
      <c r="F102" s="97">
        <f t="shared" si="14"/>
        <v>0</v>
      </c>
      <c r="G102" s="96">
        <v>80</v>
      </c>
      <c r="H102" s="95"/>
      <c r="I102" s="96">
        <f t="shared" si="15"/>
        <v>0</v>
      </c>
      <c r="J102" s="96"/>
      <c r="K102" s="42"/>
    </row>
    <row r="103" spans="1:11" ht="15" customHeight="1">
      <c r="A103" s="162" t="s">
        <v>319</v>
      </c>
      <c r="B103" s="163"/>
      <c r="C103" s="163"/>
      <c r="D103" s="164"/>
      <c r="E103" s="95">
        <v>60</v>
      </c>
      <c r="F103" s="97">
        <f t="shared" si="14"/>
        <v>0</v>
      </c>
      <c r="G103" s="96">
        <v>90</v>
      </c>
      <c r="H103" s="95"/>
      <c r="I103" s="96">
        <f t="shared" si="15"/>
        <v>0</v>
      </c>
      <c r="J103" s="96"/>
      <c r="K103" s="42"/>
    </row>
    <row r="104" spans="1:11" ht="27" customHeight="1">
      <c r="A104" s="162" t="s">
        <v>325</v>
      </c>
      <c r="B104" s="163"/>
      <c r="C104" s="163"/>
      <c r="D104" s="164"/>
      <c r="E104" s="95">
        <v>75</v>
      </c>
      <c r="F104" s="97">
        <f t="shared" si="14"/>
        <v>0</v>
      </c>
      <c r="G104" s="96">
        <v>110</v>
      </c>
      <c r="H104" s="95"/>
      <c r="I104" s="96">
        <f t="shared" si="15"/>
        <v>0</v>
      </c>
      <c r="J104" s="96"/>
      <c r="K104" s="42"/>
    </row>
    <row r="105" spans="1:11" ht="15" customHeight="1">
      <c r="A105" s="148" t="s">
        <v>106</v>
      </c>
      <c r="B105" s="149"/>
      <c r="C105" s="149"/>
      <c r="D105" s="150"/>
      <c r="E105" s="30">
        <v>90</v>
      </c>
      <c r="F105" s="24">
        <f t="shared" si="14"/>
        <v>0</v>
      </c>
      <c r="G105" s="14">
        <v>280</v>
      </c>
      <c r="H105" s="30"/>
      <c r="I105" s="14">
        <f t="shared" si="15"/>
        <v>0</v>
      </c>
      <c r="J105" s="45"/>
      <c r="K105" s="42"/>
    </row>
    <row r="106" spans="1:11" ht="15" customHeight="1">
      <c r="A106" s="148" t="s">
        <v>107</v>
      </c>
      <c r="B106" s="149"/>
      <c r="C106" s="149"/>
      <c r="D106" s="150"/>
      <c r="E106" s="30">
        <v>90</v>
      </c>
      <c r="F106" s="24">
        <f t="shared" si="14"/>
        <v>0</v>
      </c>
      <c r="G106" s="14">
        <v>130</v>
      </c>
      <c r="H106" s="30"/>
      <c r="I106" s="14">
        <f t="shared" si="15"/>
        <v>0</v>
      </c>
      <c r="J106" s="45"/>
      <c r="K106" s="42"/>
    </row>
    <row r="107" spans="1:11" ht="15" customHeight="1">
      <c r="A107" s="148" t="s">
        <v>108</v>
      </c>
      <c r="B107" s="149"/>
      <c r="C107" s="149"/>
      <c r="D107" s="150"/>
      <c r="E107" s="30">
        <v>90</v>
      </c>
      <c r="F107" s="24">
        <f t="shared" si="14"/>
        <v>0</v>
      </c>
      <c r="G107" s="14">
        <v>110</v>
      </c>
      <c r="H107" s="30"/>
      <c r="I107" s="14">
        <f t="shared" si="15"/>
        <v>0</v>
      </c>
      <c r="J107" s="45"/>
      <c r="K107" s="42"/>
    </row>
    <row r="108" spans="1:11" ht="24.9" customHeight="1">
      <c r="A108" s="148" t="s">
        <v>109</v>
      </c>
      <c r="B108" s="149"/>
      <c r="C108" s="149"/>
      <c r="D108" s="150"/>
      <c r="E108" s="31">
        <v>52</v>
      </c>
      <c r="F108" s="24">
        <f t="shared" si="14"/>
        <v>0</v>
      </c>
      <c r="G108" s="14">
        <v>180</v>
      </c>
      <c r="H108" s="30"/>
      <c r="I108" s="14">
        <f t="shared" si="15"/>
        <v>0</v>
      </c>
      <c r="J108" s="45"/>
      <c r="K108" s="42"/>
    </row>
    <row r="109" spans="1:11" ht="15" customHeight="1">
      <c r="A109" s="104" t="s">
        <v>110</v>
      </c>
      <c r="B109" s="105"/>
      <c r="C109" s="105"/>
      <c r="D109" s="105"/>
      <c r="E109" s="105"/>
      <c r="F109" s="105"/>
      <c r="G109" s="105"/>
      <c r="H109" s="105"/>
      <c r="I109" s="105"/>
      <c r="J109" s="105"/>
      <c r="K109" s="42"/>
    </row>
    <row r="110" spans="1:11" ht="24.9" customHeight="1">
      <c r="A110" s="112" t="s">
        <v>18</v>
      </c>
      <c r="B110" s="113"/>
      <c r="C110" s="113"/>
      <c r="D110" s="113"/>
      <c r="E110" s="12" t="s">
        <v>19</v>
      </c>
      <c r="F110" s="12" t="s">
        <v>20</v>
      </c>
      <c r="G110" s="12" t="s">
        <v>21</v>
      </c>
      <c r="H110" s="12" t="s">
        <v>22</v>
      </c>
      <c r="I110" s="12" t="s">
        <v>23</v>
      </c>
      <c r="J110" s="12"/>
      <c r="K110" s="42"/>
    </row>
    <row r="111" spans="1:11" ht="15" customHeight="1">
      <c r="A111" s="148" t="s">
        <v>111</v>
      </c>
      <c r="B111" s="149"/>
      <c r="C111" s="149"/>
      <c r="D111" s="150"/>
      <c r="E111" s="31">
        <v>100</v>
      </c>
      <c r="F111" s="24">
        <f t="shared" ref="F111:F132" si="16">E111*H111/$D$10</f>
        <v>0</v>
      </c>
      <c r="G111" s="14">
        <v>960</v>
      </c>
      <c r="H111" s="23"/>
      <c r="I111" s="14">
        <f t="shared" ref="I111:I132" si="17">H111*G111</f>
        <v>0</v>
      </c>
      <c r="J111" s="45"/>
      <c r="K111" s="42"/>
    </row>
    <row r="112" spans="1:11" ht="15" customHeight="1">
      <c r="A112" s="148" t="s">
        <v>112</v>
      </c>
      <c r="B112" s="149"/>
      <c r="C112" s="149"/>
      <c r="D112" s="150"/>
      <c r="E112" s="31">
        <v>100</v>
      </c>
      <c r="F112" s="24">
        <f t="shared" si="16"/>
        <v>0</v>
      </c>
      <c r="G112" s="14">
        <v>880</v>
      </c>
      <c r="H112" s="23"/>
      <c r="I112" s="14">
        <f t="shared" si="17"/>
        <v>0</v>
      </c>
      <c r="J112" s="45"/>
      <c r="K112" s="42"/>
    </row>
    <row r="113" spans="1:251" ht="15" customHeight="1">
      <c r="A113" s="148" t="s">
        <v>113</v>
      </c>
      <c r="B113" s="149"/>
      <c r="C113" s="149"/>
      <c r="D113" s="150"/>
      <c r="E113" s="31">
        <v>100</v>
      </c>
      <c r="F113" s="24">
        <f t="shared" si="16"/>
        <v>0</v>
      </c>
      <c r="G113" s="14">
        <v>990</v>
      </c>
      <c r="H113" s="23"/>
      <c r="I113" s="14">
        <f t="shared" si="17"/>
        <v>0</v>
      </c>
      <c r="J113" s="45"/>
      <c r="K113" s="42"/>
    </row>
    <row r="114" spans="1:251" ht="15" customHeight="1">
      <c r="A114" s="148" t="s">
        <v>114</v>
      </c>
      <c r="B114" s="149"/>
      <c r="C114" s="149"/>
      <c r="D114" s="150"/>
      <c r="E114" s="31">
        <v>100</v>
      </c>
      <c r="F114" s="24">
        <f t="shared" si="16"/>
        <v>0</v>
      </c>
      <c r="G114" s="14">
        <v>480</v>
      </c>
      <c r="H114" s="23"/>
      <c r="I114" s="14">
        <f t="shared" si="17"/>
        <v>0</v>
      </c>
      <c r="J114" s="45"/>
      <c r="K114" s="42"/>
    </row>
    <row r="115" spans="1:251" ht="15" customHeight="1">
      <c r="A115" s="148" t="s">
        <v>115</v>
      </c>
      <c r="B115" s="149"/>
      <c r="C115" s="149"/>
      <c r="D115" s="150"/>
      <c r="E115" s="31">
        <v>100</v>
      </c>
      <c r="F115" s="24">
        <f t="shared" si="16"/>
        <v>0</v>
      </c>
      <c r="G115" s="14">
        <v>380</v>
      </c>
      <c r="H115" s="23"/>
      <c r="I115" s="14">
        <f t="shared" si="17"/>
        <v>0</v>
      </c>
      <c r="J115" s="45"/>
      <c r="K115" s="42"/>
    </row>
    <row r="116" spans="1:251" ht="15" customHeight="1">
      <c r="A116" s="148" t="s">
        <v>116</v>
      </c>
      <c r="B116" s="149"/>
      <c r="C116" s="149"/>
      <c r="D116" s="150"/>
      <c r="E116" s="31">
        <v>100</v>
      </c>
      <c r="F116" s="24">
        <f t="shared" si="16"/>
        <v>0</v>
      </c>
      <c r="G116" s="14">
        <v>380</v>
      </c>
      <c r="H116" s="23"/>
      <c r="I116" s="14">
        <f t="shared" si="17"/>
        <v>0</v>
      </c>
      <c r="J116" s="45"/>
      <c r="K116" s="42"/>
    </row>
    <row r="117" spans="1:251" ht="15" customHeight="1">
      <c r="A117" s="134" t="s">
        <v>117</v>
      </c>
      <c r="B117" s="135"/>
      <c r="C117" s="135"/>
      <c r="D117" s="136"/>
      <c r="E117" s="31">
        <v>100</v>
      </c>
      <c r="F117" s="24">
        <f t="shared" si="16"/>
        <v>0</v>
      </c>
      <c r="G117" s="14">
        <v>290</v>
      </c>
      <c r="H117" s="30"/>
      <c r="I117" s="14">
        <f t="shared" si="17"/>
        <v>0</v>
      </c>
      <c r="J117" s="45"/>
      <c r="K117" s="42"/>
    </row>
    <row r="118" spans="1:251" ht="15" customHeight="1">
      <c r="A118" s="134" t="s">
        <v>118</v>
      </c>
      <c r="B118" s="135"/>
      <c r="C118" s="135"/>
      <c r="D118" s="136"/>
      <c r="E118" s="31">
        <v>100</v>
      </c>
      <c r="F118" s="24">
        <f t="shared" si="16"/>
        <v>0</v>
      </c>
      <c r="G118" s="14">
        <v>240</v>
      </c>
      <c r="H118" s="56"/>
      <c r="I118" s="14">
        <f t="shared" si="17"/>
        <v>0</v>
      </c>
      <c r="J118" s="45"/>
      <c r="K118" s="42"/>
    </row>
    <row r="119" spans="1:251" ht="15" customHeight="1">
      <c r="A119" s="134" t="s">
        <v>119</v>
      </c>
      <c r="B119" s="135"/>
      <c r="C119" s="135"/>
      <c r="D119" s="136"/>
      <c r="E119" s="31">
        <v>100</v>
      </c>
      <c r="F119" s="24">
        <f t="shared" si="16"/>
        <v>0</v>
      </c>
      <c r="G119" s="14">
        <v>480</v>
      </c>
      <c r="H119" s="56"/>
      <c r="I119" s="14">
        <f t="shared" si="17"/>
        <v>0</v>
      </c>
      <c r="J119" s="45"/>
      <c r="K119" s="42"/>
      <c r="AN119" s="4"/>
      <c r="AO119" s="4"/>
      <c r="BD119" s="4"/>
      <c r="BE119" s="4"/>
    </row>
    <row r="120" spans="1:251" ht="15" customHeight="1">
      <c r="A120" s="165" t="s">
        <v>120</v>
      </c>
      <c r="B120" s="166"/>
      <c r="C120" s="166"/>
      <c r="D120" s="167"/>
      <c r="E120" s="56">
        <v>100</v>
      </c>
      <c r="F120" s="24">
        <f t="shared" si="16"/>
        <v>0</v>
      </c>
      <c r="G120" s="14">
        <v>330</v>
      </c>
      <c r="H120" s="56"/>
      <c r="I120" s="14">
        <f t="shared" si="17"/>
        <v>0</v>
      </c>
      <c r="J120" s="45"/>
      <c r="K120" s="42"/>
    </row>
    <row r="121" spans="1:251" ht="15" customHeight="1">
      <c r="A121" s="165" t="s">
        <v>121</v>
      </c>
      <c r="B121" s="166"/>
      <c r="C121" s="166"/>
      <c r="D121" s="167"/>
      <c r="E121" s="56">
        <v>100</v>
      </c>
      <c r="F121" s="24">
        <f t="shared" si="16"/>
        <v>0</v>
      </c>
      <c r="G121" s="14">
        <v>390</v>
      </c>
      <c r="H121" s="56"/>
      <c r="I121" s="14">
        <f t="shared" si="17"/>
        <v>0</v>
      </c>
      <c r="J121" s="45"/>
      <c r="K121" s="42"/>
    </row>
    <row r="122" spans="1:251" ht="15" customHeight="1">
      <c r="A122" s="165" t="s">
        <v>122</v>
      </c>
      <c r="B122" s="166"/>
      <c r="C122" s="166"/>
      <c r="D122" s="167"/>
      <c r="E122" s="56">
        <v>100</v>
      </c>
      <c r="F122" s="24">
        <f t="shared" si="16"/>
        <v>0</v>
      </c>
      <c r="G122" s="14">
        <v>190</v>
      </c>
      <c r="H122" s="30"/>
      <c r="I122" s="14">
        <f t="shared" si="17"/>
        <v>0</v>
      </c>
      <c r="J122" s="45"/>
      <c r="K122" s="42"/>
    </row>
    <row r="123" spans="1:251" ht="15" customHeight="1">
      <c r="A123" s="165" t="s">
        <v>123</v>
      </c>
      <c r="B123" s="166"/>
      <c r="C123" s="166"/>
      <c r="D123" s="167"/>
      <c r="E123" s="56">
        <v>100</v>
      </c>
      <c r="F123" s="24">
        <f t="shared" si="16"/>
        <v>0</v>
      </c>
      <c r="G123" s="24">
        <v>370</v>
      </c>
      <c r="H123" s="30"/>
      <c r="I123" s="14">
        <f t="shared" si="17"/>
        <v>0</v>
      </c>
      <c r="J123" s="45"/>
      <c r="K123" s="42"/>
    </row>
    <row r="124" spans="1:251" ht="15" customHeight="1">
      <c r="A124" s="165" t="s">
        <v>124</v>
      </c>
      <c r="B124" s="166"/>
      <c r="C124" s="166"/>
      <c r="D124" s="167"/>
      <c r="E124" s="56">
        <v>100</v>
      </c>
      <c r="F124" s="24">
        <f t="shared" si="16"/>
        <v>0</v>
      </c>
      <c r="G124" s="14">
        <v>390</v>
      </c>
      <c r="H124" s="30"/>
      <c r="I124" s="14">
        <f t="shared" si="17"/>
        <v>0</v>
      </c>
      <c r="J124" s="45"/>
      <c r="K124" s="42"/>
      <c r="IJ124" s="6"/>
      <c r="IK124" s="6"/>
      <c r="IL124" s="6"/>
      <c r="IM124" s="6"/>
      <c r="IN124" s="6"/>
      <c r="IO124" s="6"/>
      <c r="IP124" s="6"/>
      <c r="IQ124" s="6"/>
    </row>
    <row r="125" spans="1:251" ht="15" customHeight="1">
      <c r="A125" s="33" t="s">
        <v>125</v>
      </c>
      <c r="B125" s="34"/>
      <c r="C125" s="34"/>
      <c r="D125" s="35"/>
      <c r="E125" s="31">
        <v>100</v>
      </c>
      <c r="F125" s="24">
        <f t="shared" si="16"/>
        <v>0</v>
      </c>
      <c r="G125" s="24">
        <v>520</v>
      </c>
      <c r="H125" s="30"/>
      <c r="I125" s="14">
        <f t="shared" si="17"/>
        <v>0</v>
      </c>
      <c r="J125" s="45"/>
      <c r="K125" s="42"/>
    </row>
    <row r="126" spans="1:251" ht="15" customHeight="1">
      <c r="A126" s="134" t="s">
        <v>126</v>
      </c>
      <c r="B126" s="135"/>
      <c r="C126" s="135"/>
      <c r="D126" s="136"/>
      <c r="E126" s="31">
        <v>100</v>
      </c>
      <c r="F126" s="24">
        <f t="shared" si="16"/>
        <v>0</v>
      </c>
      <c r="G126" s="14">
        <v>640</v>
      </c>
      <c r="H126" s="56"/>
      <c r="I126" s="14">
        <f t="shared" si="17"/>
        <v>0</v>
      </c>
      <c r="J126" s="45"/>
      <c r="K126" s="42"/>
    </row>
    <row r="127" spans="1:251" ht="15" customHeight="1">
      <c r="A127" s="165" t="s">
        <v>127</v>
      </c>
      <c r="B127" s="166"/>
      <c r="C127" s="166"/>
      <c r="D127" s="167"/>
      <c r="E127" s="56">
        <v>100</v>
      </c>
      <c r="F127" s="24">
        <f t="shared" si="16"/>
        <v>0</v>
      </c>
      <c r="G127" s="14">
        <v>270</v>
      </c>
      <c r="H127" s="56"/>
      <c r="I127" s="14">
        <f t="shared" si="17"/>
        <v>0</v>
      </c>
      <c r="J127" s="45"/>
      <c r="K127" s="42"/>
    </row>
    <row r="128" spans="1:251" ht="24.65" customHeight="1">
      <c r="A128" s="134" t="s">
        <v>128</v>
      </c>
      <c r="B128" s="135"/>
      <c r="C128" s="135"/>
      <c r="D128" s="136"/>
      <c r="E128" s="31">
        <v>100</v>
      </c>
      <c r="F128" s="24">
        <f t="shared" ref="F128" si="18">E128*H128/$D$10</f>
        <v>0</v>
      </c>
      <c r="G128" s="14">
        <v>220</v>
      </c>
      <c r="H128" s="30"/>
      <c r="I128" s="14">
        <f t="shared" ref="I128" si="19">H128*G128</f>
        <v>0</v>
      </c>
      <c r="J128" s="45"/>
      <c r="K128" s="42"/>
    </row>
    <row r="129" spans="1:243" ht="12.9" customHeight="1">
      <c r="A129" s="134" t="s">
        <v>129</v>
      </c>
      <c r="B129" s="135"/>
      <c r="C129" s="135"/>
      <c r="D129" s="136"/>
      <c r="E129" s="31">
        <v>100</v>
      </c>
      <c r="F129" s="24">
        <f t="shared" si="16"/>
        <v>0</v>
      </c>
      <c r="G129" s="14">
        <v>220</v>
      </c>
      <c r="H129" s="30"/>
      <c r="I129" s="14">
        <f t="shared" si="17"/>
        <v>0</v>
      </c>
      <c r="J129" s="45"/>
      <c r="K129" s="42"/>
      <c r="L129" s="60"/>
    </row>
    <row r="130" spans="1:243" ht="13.5" customHeight="1">
      <c r="A130" s="134" t="s">
        <v>130</v>
      </c>
      <c r="B130" s="135"/>
      <c r="C130" s="135"/>
      <c r="D130" s="136"/>
      <c r="E130" s="31">
        <v>100</v>
      </c>
      <c r="F130" s="24">
        <f t="shared" ref="F130" si="20">E130*H130/$D$10</f>
        <v>0</v>
      </c>
      <c r="G130" s="14">
        <v>180</v>
      </c>
      <c r="H130" s="30"/>
      <c r="I130" s="14">
        <f t="shared" ref="I130" si="21">H130*G130</f>
        <v>0</v>
      </c>
      <c r="J130" s="45"/>
      <c r="K130" s="42"/>
      <c r="L130" s="60"/>
    </row>
    <row r="131" spans="1:243" ht="15" customHeight="1">
      <c r="A131" s="134" t="s">
        <v>131</v>
      </c>
      <c r="B131" s="135"/>
      <c r="C131" s="135"/>
      <c r="D131" s="136"/>
      <c r="E131" s="31">
        <v>100</v>
      </c>
      <c r="F131" s="24">
        <f t="shared" si="16"/>
        <v>0</v>
      </c>
      <c r="G131" s="14">
        <v>210</v>
      </c>
      <c r="H131" s="30"/>
      <c r="I131" s="14">
        <f t="shared" si="17"/>
        <v>0</v>
      </c>
      <c r="J131" s="45"/>
      <c r="K131" s="42"/>
    </row>
    <row r="132" spans="1:243" ht="15" customHeight="1">
      <c r="A132" s="134" t="s">
        <v>132</v>
      </c>
      <c r="B132" s="135"/>
      <c r="C132" s="135"/>
      <c r="D132" s="136"/>
      <c r="E132" s="31">
        <v>100</v>
      </c>
      <c r="F132" s="24">
        <f t="shared" si="16"/>
        <v>0</v>
      </c>
      <c r="G132" s="14">
        <v>190</v>
      </c>
      <c r="H132" s="30"/>
      <c r="I132" s="14">
        <f t="shared" si="17"/>
        <v>0</v>
      </c>
      <c r="J132" s="45"/>
      <c r="K132" s="42"/>
    </row>
    <row r="133" spans="1:243" ht="15" customHeight="1">
      <c r="A133" s="121" t="s">
        <v>133</v>
      </c>
      <c r="B133" s="122"/>
      <c r="C133" s="122"/>
      <c r="D133" s="123"/>
      <c r="E133" s="21">
        <v>100</v>
      </c>
      <c r="F133" s="22">
        <f t="shared" ref="F133:F136" si="22">E133*H133/$D$10</f>
        <v>0</v>
      </c>
      <c r="G133" s="22">
        <v>190</v>
      </c>
      <c r="H133" s="21"/>
      <c r="I133" s="22">
        <f t="shared" ref="I133:I136" si="23">H133*G133</f>
        <v>0</v>
      </c>
      <c r="J133" s="22"/>
      <c r="K133" s="42"/>
    </row>
    <row r="134" spans="1:243" ht="15" customHeight="1">
      <c r="A134" s="121" t="s">
        <v>134</v>
      </c>
      <c r="B134" s="122"/>
      <c r="C134" s="122"/>
      <c r="D134" s="123"/>
      <c r="E134" s="21">
        <v>100</v>
      </c>
      <c r="F134" s="22">
        <f t="shared" si="22"/>
        <v>0</v>
      </c>
      <c r="G134" s="22">
        <v>650</v>
      </c>
      <c r="H134" s="21"/>
      <c r="I134" s="22">
        <f t="shared" si="23"/>
        <v>0</v>
      </c>
      <c r="J134" s="22"/>
      <c r="K134" s="42"/>
    </row>
    <row r="135" spans="1:243" ht="15" customHeight="1">
      <c r="A135" s="121" t="s">
        <v>135</v>
      </c>
      <c r="B135" s="122"/>
      <c r="C135" s="122"/>
      <c r="D135" s="123"/>
      <c r="E135" s="21">
        <v>100</v>
      </c>
      <c r="F135" s="22">
        <f t="shared" si="22"/>
        <v>0</v>
      </c>
      <c r="G135" s="22">
        <v>650</v>
      </c>
      <c r="H135" s="21"/>
      <c r="I135" s="22">
        <f t="shared" si="23"/>
        <v>0</v>
      </c>
      <c r="J135" s="22"/>
      <c r="K135" s="42"/>
    </row>
    <row r="136" spans="1:243" ht="15" customHeight="1">
      <c r="A136" s="121" t="s">
        <v>136</v>
      </c>
      <c r="B136" s="122"/>
      <c r="C136" s="122"/>
      <c r="D136" s="123"/>
      <c r="E136" s="21">
        <v>100</v>
      </c>
      <c r="F136" s="22">
        <f t="shared" si="22"/>
        <v>0</v>
      </c>
      <c r="G136" s="22">
        <v>450</v>
      </c>
      <c r="H136" s="21"/>
      <c r="I136" s="22">
        <f t="shared" si="23"/>
        <v>0</v>
      </c>
      <c r="J136" s="22"/>
      <c r="K136" s="42"/>
    </row>
    <row r="137" spans="1:243" ht="15" customHeight="1">
      <c r="A137" s="104" t="s">
        <v>137</v>
      </c>
      <c r="B137" s="105"/>
      <c r="C137" s="105"/>
      <c r="D137" s="105"/>
      <c r="E137" s="105"/>
      <c r="F137" s="105"/>
      <c r="G137" s="105"/>
      <c r="H137" s="105"/>
      <c r="I137" s="105"/>
      <c r="J137" s="105"/>
      <c r="K137" s="42"/>
    </row>
    <row r="138" spans="1:243" ht="24.9" customHeight="1">
      <c r="A138" s="112" t="s">
        <v>18</v>
      </c>
      <c r="B138" s="113"/>
      <c r="C138" s="113"/>
      <c r="D138" s="113"/>
      <c r="E138" s="12" t="s">
        <v>19</v>
      </c>
      <c r="F138" s="12" t="s">
        <v>20</v>
      </c>
      <c r="G138" s="12" t="s">
        <v>21</v>
      </c>
      <c r="H138" s="12" t="s">
        <v>22</v>
      </c>
      <c r="I138" s="12" t="s">
        <v>23</v>
      </c>
      <c r="J138" s="12"/>
      <c r="K138" s="42"/>
    </row>
    <row r="139" spans="1:243" ht="15" customHeight="1">
      <c r="A139" s="168" t="s">
        <v>138</v>
      </c>
      <c r="B139" s="169"/>
      <c r="C139" s="169"/>
      <c r="D139" s="169"/>
      <c r="E139" s="31">
        <v>70</v>
      </c>
      <c r="F139" s="24">
        <f t="shared" ref="F139:F150" si="24">E139*H139/$D$10</f>
        <v>0</v>
      </c>
      <c r="G139" s="14">
        <v>250</v>
      </c>
      <c r="H139" s="31"/>
      <c r="I139" s="14">
        <f t="shared" ref="I139:I150" si="25">G139*H139</f>
        <v>0</v>
      </c>
      <c r="J139" s="45"/>
      <c r="K139" s="42"/>
    </row>
    <row r="140" spans="1:243" ht="15" customHeight="1">
      <c r="A140" s="168" t="s">
        <v>139</v>
      </c>
      <c r="B140" s="169"/>
      <c r="C140" s="169"/>
      <c r="D140" s="169"/>
      <c r="E140" s="31">
        <v>60</v>
      </c>
      <c r="F140" s="24">
        <f t="shared" si="24"/>
        <v>0</v>
      </c>
      <c r="G140" s="14">
        <v>140</v>
      </c>
      <c r="H140" s="31"/>
      <c r="I140" s="14">
        <f t="shared" si="25"/>
        <v>0</v>
      </c>
      <c r="J140" s="45"/>
      <c r="K140" s="42"/>
    </row>
    <row r="141" spans="1:243" ht="24.9" customHeight="1">
      <c r="A141" s="168" t="s">
        <v>140</v>
      </c>
      <c r="B141" s="169"/>
      <c r="C141" s="169"/>
      <c r="D141" s="169"/>
      <c r="E141" s="31">
        <v>50</v>
      </c>
      <c r="F141" s="24">
        <f t="shared" si="24"/>
        <v>0</v>
      </c>
      <c r="G141" s="14">
        <v>240</v>
      </c>
      <c r="H141" s="23"/>
      <c r="I141" s="14">
        <f t="shared" si="25"/>
        <v>0</v>
      </c>
      <c r="J141" s="45"/>
      <c r="K141" s="42"/>
    </row>
    <row r="142" spans="1:243" s="4" customFormat="1" ht="15" customHeight="1">
      <c r="A142" s="168" t="s">
        <v>141</v>
      </c>
      <c r="B142" s="169"/>
      <c r="C142" s="169"/>
      <c r="D142" s="169"/>
      <c r="E142" s="31">
        <v>30</v>
      </c>
      <c r="F142" s="24">
        <f t="shared" si="24"/>
        <v>0</v>
      </c>
      <c r="G142" s="14">
        <v>40</v>
      </c>
      <c r="H142" s="23"/>
      <c r="I142" s="14">
        <f t="shared" si="25"/>
        <v>0</v>
      </c>
      <c r="J142" s="45"/>
      <c r="K142" s="75"/>
      <c r="L142" s="76"/>
      <c r="Q142" s="6"/>
      <c r="R142" s="6"/>
      <c r="S142" s="6"/>
      <c r="T142" s="6"/>
      <c r="U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</row>
    <row r="143" spans="1:243" s="2" customFormat="1" ht="54.9" customHeight="1">
      <c r="A143" s="168" t="s">
        <v>142</v>
      </c>
      <c r="B143" s="169"/>
      <c r="C143" s="169"/>
      <c r="D143" s="169"/>
      <c r="E143" s="23">
        <v>50</v>
      </c>
      <c r="F143" s="24">
        <f t="shared" si="24"/>
        <v>0</v>
      </c>
      <c r="G143" s="14">
        <v>180</v>
      </c>
      <c r="H143" s="31"/>
      <c r="I143" s="14">
        <f t="shared" si="25"/>
        <v>0</v>
      </c>
      <c r="J143" s="45"/>
      <c r="K143" s="42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</row>
    <row r="144" spans="1:243" ht="24.9" customHeight="1">
      <c r="A144" s="170" t="s">
        <v>143</v>
      </c>
      <c r="B144" s="171"/>
      <c r="C144" s="171"/>
      <c r="D144" s="172"/>
      <c r="E144" s="62">
        <v>27</v>
      </c>
      <c r="F144" s="24">
        <f t="shared" si="24"/>
        <v>0</v>
      </c>
      <c r="G144" s="63">
        <v>90</v>
      </c>
      <c r="H144" s="64"/>
      <c r="I144" s="14">
        <f t="shared" si="25"/>
        <v>0</v>
      </c>
      <c r="J144" s="45"/>
      <c r="K144" s="42"/>
    </row>
    <row r="145" spans="1:243" ht="15" customHeight="1">
      <c r="A145" s="168" t="s">
        <v>144</v>
      </c>
      <c r="B145" s="169"/>
      <c r="C145" s="169"/>
      <c r="D145" s="169"/>
      <c r="E145" s="31">
        <v>40</v>
      </c>
      <c r="F145" s="24">
        <f t="shared" si="24"/>
        <v>0</v>
      </c>
      <c r="G145" s="14">
        <v>70</v>
      </c>
      <c r="H145" s="56"/>
      <c r="I145" s="14">
        <f t="shared" si="25"/>
        <v>0</v>
      </c>
      <c r="J145" s="45"/>
      <c r="K145" s="42"/>
    </row>
    <row r="146" spans="1:243" ht="24.9" customHeight="1">
      <c r="A146" s="134" t="s">
        <v>145</v>
      </c>
      <c r="B146" s="135"/>
      <c r="C146" s="135"/>
      <c r="D146" s="136"/>
      <c r="E146" s="31">
        <v>50</v>
      </c>
      <c r="F146" s="24">
        <f t="shared" si="24"/>
        <v>0</v>
      </c>
      <c r="G146" s="14">
        <v>235</v>
      </c>
      <c r="H146" s="31"/>
      <c r="I146" s="14">
        <f t="shared" si="25"/>
        <v>0</v>
      </c>
      <c r="J146" s="45"/>
      <c r="K146" s="42"/>
    </row>
    <row r="147" spans="1:243" s="2" customFormat="1" ht="24.9" customHeight="1">
      <c r="A147" s="134" t="s">
        <v>146</v>
      </c>
      <c r="B147" s="135"/>
      <c r="C147" s="135"/>
      <c r="D147" s="136"/>
      <c r="E147" s="31">
        <v>40</v>
      </c>
      <c r="F147" s="24">
        <f t="shared" si="24"/>
        <v>0</v>
      </c>
      <c r="G147" s="14">
        <v>250</v>
      </c>
      <c r="H147" s="31"/>
      <c r="I147" s="14">
        <f t="shared" si="25"/>
        <v>0</v>
      </c>
      <c r="J147" s="45"/>
      <c r="K147" s="42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</row>
    <row r="148" spans="1:243" s="2" customFormat="1" ht="15" customHeight="1">
      <c r="A148" s="134" t="s">
        <v>147</v>
      </c>
      <c r="B148" s="135"/>
      <c r="C148" s="135"/>
      <c r="D148" s="136"/>
      <c r="E148" s="31">
        <v>70</v>
      </c>
      <c r="F148" s="24">
        <f t="shared" si="24"/>
        <v>0</v>
      </c>
      <c r="G148" s="14">
        <v>120</v>
      </c>
      <c r="H148" s="31"/>
      <c r="I148" s="14">
        <f t="shared" si="25"/>
        <v>0</v>
      </c>
      <c r="J148" s="45"/>
      <c r="K148" s="42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</row>
    <row r="149" spans="1:243" s="2" customFormat="1" ht="15" customHeight="1">
      <c r="A149" s="168" t="s">
        <v>148</v>
      </c>
      <c r="B149" s="169"/>
      <c r="C149" s="169"/>
      <c r="D149" s="169"/>
      <c r="E149" s="31">
        <v>35</v>
      </c>
      <c r="F149" s="24">
        <f t="shared" si="24"/>
        <v>0</v>
      </c>
      <c r="G149" s="14">
        <v>220</v>
      </c>
      <c r="H149" s="56"/>
      <c r="I149" s="14">
        <f t="shared" si="25"/>
        <v>0</v>
      </c>
      <c r="J149" s="45"/>
      <c r="K149" s="42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</row>
    <row r="150" spans="1:243" s="2" customFormat="1" ht="15" customHeight="1">
      <c r="A150" s="168" t="s">
        <v>149</v>
      </c>
      <c r="B150" s="169"/>
      <c r="C150" s="169"/>
      <c r="D150" s="169"/>
      <c r="E150" s="31">
        <v>33</v>
      </c>
      <c r="F150" s="24">
        <f t="shared" si="24"/>
        <v>0</v>
      </c>
      <c r="G150" s="14">
        <v>140</v>
      </c>
      <c r="H150" s="56"/>
      <c r="I150" s="14">
        <f t="shared" si="25"/>
        <v>0</v>
      </c>
      <c r="J150" s="45"/>
      <c r="K150" s="42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</row>
    <row r="151" spans="1:243" s="2" customFormat="1" ht="15" customHeight="1">
      <c r="A151" s="173" t="s">
        <v>150</v>
      </c>
      <c r="B151" s="174"/>
      <c r="C151" s="174"/>
      <c r="D151" s="174"/>
      <c r="E151" s="21">
        <v>117</v>
      </c>
      <c r="F151" s="22">
        <f t="shared" ref="F151" si="26">E151*H151/$D$10</f>
        <v>0</v>
      </c>
      <c r="G151" s="22">
        <v>220</v>
      </c>
      <c r="H151" s="65"/>
      <c r="I151" s="22">
        <f t="shared" ref="I151" si="27">G151*H151</f>
        <v>0</v>
      </c>
      <c r="J151" s="22"/>
      <c r="K151" s="42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</row>
    <row r="152" spans="1:243" s="2" customFormat="1" ht="15" customHeight="1">
      <c r="A152" s="104" t="s">
        <v>322</v>
      </c>
      <c r="B152" s="105"/>
      <c r="C152" s="105"/>
      <c r="D152" s="105"/>
      <c r="E152" s="105"/>
      <c r="F152" s="105"/>
      <c r="G152" s="105"/>
      <c r="H152" s="105"/>
      <c r="I152" s="105"/>
      <c r="J152" s="105"/>
      <c r="K152" s="42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</row>
    <row r="153" spans="1:243" s="2" customFormat="1" ht="25" customHeight="1">
      <c r="A153" s="112" t="s">
        <v>18</v>
      </c>
      <c r="B153" s="113"/>
      <c r="C153" s="113"/>
      <c r="D153" s="113"/>
      <c r="E153" s="98" t="s">
        <v>19</v>
      </c>
      <c r="F153" s="98" t="s">
        <v>20</v>
      </c>
      <c r="G153" s="98" t="s">
        <v>21</v>
      </c>
      <c r="H153" s="98" t="s">
        <v>22</v>
      </c>
      <c r="I153" s="98" t="s">
        <v>23</v>
      </c>
      <c r="J153" s="98"/>
      <c r="K153" s="42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</row>
    <row r="154" spans="1:243" s="2" customFormat="1" ht="15" customHeight="1">
      <c r="A154" s="162" t="s">
        <v>323</v>
      </c>
      <c r="B154" s="163"/>
      <c r="C154" s="163"/>
      <c r="D154" s="164"/>
      <c r="E154" s="95">
        <v>240</v>
      </c>
      <c r="F154" s="96">
        <f t="shared" ref="F154" si="28">E154*H154/$D$10</f>
        <v>0</v>
      </c>
      <c r="G154" s="96">
        <v>330</v>
      </c>
      <c r="H154" s="99"/>
      <c r="I154" s="96"/>
      <c r="J154" s="96"/>
      <c r="K154" s="42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</row>
    <row r="155" spans="1:243" ht="15" customHeight="1">
      <c r="A155" s="104" t="s">
        <v>320</v>
      </c>
      <c r="B155" s="105"/>
      <c r="C155" s="105"/>
      <c r="D155" s="105"/>
      <c r="E155" s="105"/>
      <c r="F155" s="105"/>
      <c r="G155" s="105"/>
      <c r="H155" s="105"/>
      <c r="I155" s="105"/>
      <c r="J155" s="105"/>
      <c r="K155" s="42"/>
    </row>
    <row r="156" spans="1:243" ht="24.9" customHeight="1">
      <c r="A156" s="112" t="s">
        <v>18</v>
      </c>
      <c r="B156" s="113"/>
      <c r="C156" s="113"/>
      <c r="D156" s="113"/>
      <c r="E156" s="98" t="s">
        <v>19</v>
      </c>
      <c r="F156" s="98" t="s">
        <v>20</v>
      </c>
      <c r="G156" s="98" t="s">
        <v>21</v>
      </c>
      <c r="H156" s="98" t="s">
        <v>22</v>
      </c>
      <c r="I156" s="98" t="s">
        <v>23</v>
      </c>
      <c r="J156" s="98"/>
      <c r="K156" s="42"/>
    </row>
    <row r="157" spans="1:243" s="2" customFormat="1" ht="15" customHeight="1">
      <c r="A157" s="175" t="s">
        <v>321</v>
      </c>
      <c r="B157" s="176"/>
      <c r="C157" s="176"/>
      <c r="D157" s="176"/>
      <c r="E157" s="95">
        <v>85</v>
      </c>
      <c r="F157" s="96">
        <f t="shared" ref="F157" si="29">E157*H157/$D$10</f>
        <v>0</v>
      </c>
      <c r="G157" s="96">
        <v>220</v>
      </c>
      <c r="H157" s="99"/>
      <c r="I157" s="96">
        <f t="shared" ref="I157" si="30">G157*H157</f>
        <v>0</v>
      </c>
      <c r="J157" s="96"/>
      <c r="K157" s="42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</row>
    <row r="158" spans="1:243" ht="15" customHeight="1">
      <c r="A158" s="104" t="s">
        <v>151</v>
      </c>
      <c r="B158" s="105"/>
      <c r="C158" s="105"/>
      <c r="D158" s="105"/>
      <c r="E158" s="105"/>
      <c r="F158" s="105"/>
      <c r="G158" s="105"/>
      <c r="H158" s="105"/>
      <c r="I158" s="105"/>
      <c r="J158" s="105"/>
      <c r="K158" s="42"/>
    </row>
    <row r="159" spans="1:243" s="2" customFormat="1" ht="25" customHeight="1">
      <c r="A159" s="112" t="s">
        <v>18</v>
      </c>
      <c r="B159" s="113"/>
      <c r="C159" s="113"/>
      <c r="D159" s="113"/>
      <c r="E159" s="12" t="s">
        <v>19</v>
      </c>
      <c r="F159" s="12" t="s">
        <v>20</v>
      </c>
      <c r="G159" s="12" t="s">
        <v>21</v>
      </c>
      <c r="H159" s="12" t="s">
        <v>22</v>
      </c>
      <c r="I159" s="12" t="s">
        <v>23</v>
      </c>
      <c r="J159" s="12"/>
      <c r="K159" s="42"/>
      <c r="L159" s="6"/>
      <c r="M159" s="177"/>
      <c r="N159" s="177"/>
      <c r="O159" s="177"/>
      <c r="P159" s="177"/>
      <c r="Q159" s="6"/>
      <c r="R159" s="6"/>
      <c r="S159" s="6"/>
      <c r="T159" s="6"/>
      <c r="U159" s="6"/>
      <c r="V159" s="77"/>
      <c r="W159" s="78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</row>
    <row r="160" spans="1:243" s="2" customFormat="1" ht="15" customHeight="1">
      <c r="A160" s="134" t="s">
        <v>152</v>
      </c>
      <c r="B160" s="135"/>
      <c r="C160" s="135"/>
      <c r="D160" s="136"/>
      <c r="E160" s="66">
        <v>30</v>
      </c>
      <c r="F160" s="24">
        <f t="shared" ref="F160:F187" si="31">E160*H160/$D$10</f>
        <v>0</v>
      </c>
      <c r="G160" s="14">
        <v>80</v>
      </c>
      <c r="H160" s="66"/>
      <c r="I160" s="14">
        <f t="shared" ref="I160:I187" si="32">H160*G160</f>
        <v>0</v>
      </c>
      <c r="J160" s="45"/>
      <c r="K160" s="42"/>
      <c r="L160" s="6"/>
      <c r="M160" s="6"/>
      <c r="N160" s="6"/>
      <c r="O160" s="6"/>
      <c r="P160" s="6"/>
      <c r="Q160" s="79"/>
      <c r="R160" s="80"/>
      <c r="S160" s="81"/>
      <c r="T160" s="82"/>
      <c r="U160" s="83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</row>
    <row r="161" spans="1:243" s="2" customFormat="1" ht="15" customHeight="1">
      <c r="A161" s="168" t="s">
        <v>153</v>
      </c>
      <c r="B161" s="169"/>
      <c r="C161" s="169"/>
      <c r="D161" s="169"/>
      <c r="E161" s="66">
        <v>35</v>
      </c>
      <c r="F161" s="24">
        <f t="shared" si="31"/>
        <v>0</v>
      </c>
      <c r="G161" s="14">
        <v>170</v>
      </c>
      <c r="H161" s="66"/>
      <c r="I161" s="14">
        <f t="shared" si="32"/>
        <v>0</v>
      </c>
      <c r="J161" s="45"/>
      <c r="K161" s="42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</row>
    <row r="162" spans="1:243" ht="15" customHeight="1">
      <c r="A162" s="134" t="s">
        <v>154</v>
      </c>
      <c r="B162" s="135"/>
      <c r="C162" s="135"/>
      <c r="D162" s="136"/>
      <c r="E162" s="66">
        <v>39</v>
      </c>
      <c r="F162" s="24">
        <f t="shared" si="31"/>
        <v>0</v>
      </c>
      <c r="G162" s="14">
        <v>190</v>
      </c>
      <c r="H162" s="66"/>
      <c r="I162" s="14">
        <f t="shared" si="32"/>
        <v>0</v>
      </c>
      <c r="J162" s="45"/>
      <c r="K162" s="42"/>
    </row>
    <row r="163" spans="1:243" ht="15" customHeight="1">
      <c r="A163" s="168" t="s">
        <v>155</v>
      </c>
      <c r="B163" s="169"/>
      <c r="C163" s="169"/>
      <c r="D163" s="169"/>
      <c r="E163" s="31">
        <v>33</v>
      </c>
      <c r="F163" s="24">
        <f t="shared" si="31"/>
        <v>0</v>
      </c>
      <c r="G163" s="14">
        <v>630</v>
      </c>
      <c r="H163" s="31"/>
      <c r="I163" s="14">
        <f t="shared" si="32"/>
        <v>0</v>
      </c>
      <c r="J163" s="45"/>
      <c r="K163" s="42"/>
    </row>
    <row r="164" spans="1:243" s="2" customFormat="1" ht="15" customHeight="1">
      <c r="A164" s="129" t="s">
        <v>156</v>
      </c>
      <c r="B164" s="130"/>
      <c r="C164" s="130"/>
      <c r="D164" s="131"/>
      <c r="E164" s="30">
        <v>50</v>
      </c>
      <c r="F164" s="24">
        <f t="shared" si="31"/>
        <v>0</v>
      </c>
      <c r="G164" s="14">
        <v>710</v>
      </c>
      <c r="H164" s="25"/>
      <c r="I164" s="14">
        <f t="shared" si="32"/>
        <v>0</v>
      </c>
      <c r="J164" s="45"/>
      <c r="K164" s="42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</row>
    <row r="165" spans="1:243" ht="15" customHeight="1">
      <c r="A165" s="178" t="s">
        <v>157</v>
      </c>
      <c r="B165" s="179"/>
      <c r="C165" s="179"/>
      <c r="D165" s="180"/>
      <c r="E165" s="66">
        <v>50</v>
      </c>
      <c r="F165" s="24">
        <f t="shared" si="31"/>
        <v>0</v>
      </c>
      <c r="G165" s="14">
        <v>220</v>
      </c>
      <c r="H165" s="66"/>
      <c r="I165" s="14">
        <f t="shared" si="32"/>
        <v>0</v>
      </c>
      <c r="J165" s="45"/>
      <c r="K165" s="42"/>
    </row>
    <row r="166" spans="1:243" ht="15" customHeight="1">
      <c r="A166" s="181" t="s">
        <v>158</v>
      </c>
      <c r="B166" s="181"/>
      <c r="C166" s="181"/>
      <c r="D166" s="181"/>
      <c r="E166" s="56">
        <v>50</v>
      </c>
      <c r="F166" s="24">
        <f t="shared" si="31"/>
        <v>0</v>
      </c>
      <c r="G166" s="14">
        <v>250</v>
      </c>
      <c r="H166" s="26"/>
      <c r="I166" s="14">
        <f t="shared" si="32"/>
        <v>0</v>
      </c>
      <c r="J166" s="45"/>
      <c r="K166" s="42"/>
    </row>
    <row r="167" spans="1:243" ht="24.9" customHeight="1">
      <c r="A167" s="182" t="s">
        <v>159</v>
      </c>
      <c r="B167" s="183"/>
      <c r="C167" s="183"/>
      <c r="D167" s="184"/>
      <c r="E167" s="70">
        <v>50</v>
      </c>
      <c r="F167" s="24">
        <f t="shared" si="31"/>
        <v>0</v>
      </c>
      <c r="G167" s="14">
        <v>110</v>
      </c>
      <c r="H167" s="66"/>
      <c r="I167" s="14">
        <f t="shared" si="32"/>
        <v>0</v>
      </c>
      <c r="J167" s="45"/>
      <c r="K167" s="42"/>
    </row>
    <row r="168" spans="1:243" ht="24.9" customHeight="1">
      <c r="A168" s="140" t="s">
        <v>160</v>
      </c>
      <c r="B168" s="141"/>
      <c r="C168" s="141"/>
      <c r="D168" s="141"/>
      <c r="E168" s="70">
        <v>50</v>
      </c>
      <c r="F168" s="24">
        <f t="shared" si="31"/>
        <v>0</v>
      </c>
      <c r="G168" s="14">
        <v>90</v>
      </c>
      <c r="H168" s="66"/>
      <c r="I168" s="14">
        <f t="shared" si="32"/>
        <v>0</v>
      </c>
      <c r="J168" s="45"/>
      <c r="K168" s="42"/>
    </row>
    <row r="169" spans="1:243" ht="25" customHeight="1">
      <c r="A169" s="168" t="s">
        <v>161</v>
      </c>
      <c r="B169" s="169"/>
      <c r="C169" s="169"/>
      <c r="D169" s="169"/>
      <c r="E169" s="31">
        <v>33</v>
      </c>
      <c r="F169" s="24">
        <f t="shared" si="31"/>
        <v>0</v>
      </c>
      <c r="G169" s="14">
        <v>125</v>
      </c>
      <c r="H169" s="31"/>
      <c r="I169" s="14">
        <f t="shared" si="32"/>
        <v>0</v>
      </c>
      <c r="J169" s="45"/>
      <c r="K169" s="42"/>
    </row>
    <row r="170" spans="1:243" ht="24.9" customHeight="1">
      <c r="A170" s="168" t="s">
        <v>162</v>
      </c>
      <c r="B170" s="169"/>
      <c r="C170" s="169"/>
      <c r="D170" s="169"/>
      <c r="E170" s="56">
        <v>40</v>
      </c>
      <c r="F170" s="24">
        <f t="shared" si="31"/>
        <v>0</v>
      </c>
      <c r="G170" s="14">
        <v>160</v>
      </c>
      <c r="H170" s="71"/>
      <c r="I170" s="14">
        <f t="shared" si="32"/>
        <v>0</v>
      </c>
      <c r="J170" s="45"/>
      <c r="K170" s="42"/>
    </row>
    <row r="171" spans="1:243" ht="15" customHeight="1">
      <c r="A171" s="134" t="s">
        <v>163</v>
      </c>
      <c r="B171" s="135"/>
      <c r="C171" s="135"/>
      <c r="D171" s="136"/>
      <c r="E171" s="66">
        <v>90</v>
      </c>
      <c r="F171" s="24">
        <f t="shared" si="31"/>
        <v>0</v>
      </c>
      <c r="G171" s="14">
        <v>280</v>
      </c>
      <c r="H171" s="66"/>
      <c r="I171" s="14">
        <f t="shared" si="32"/>
        <v>0</v>
      </c>
      <c r="J171" s="45"/>
      <c r="K171" s="42"/>
    </row>
    <row r="172" spans="1:243" ht="15" customHeight="1">
      <c r="A172" s="168" t="s">
        <v>164</v>
      </c>
      <c r="B172" s="169"/>
      <c r="C172" s="169"/>
      <c r="D172" s="169"/>
      <c r="E172" s="31">
        <v>140</v>
      </c>
      <c r="F172" s="24">
        <f t="shared" si="31"/>
        <v>0</v>
      </c>
      <c r="G172" s="14">
        <v>280</v>
      </c>
      <c r="H172" s="66"/>
      <c r="I172" s="14">
        <f t="shared" si="32"/>
        <v>0</v>
      </c>
      <c r="J172" s="45"/>
      <c r="K172" s="42"/>
    </row>
    <row r="173" spans="1:243" ht="15" customHeight="1">
      <c r="A173" s="165" t="s">
        <v>165</v>
      </c>
      <c r="B173" s="166"/>
      <c r="C173" s="166"/>
      <c r="D173" s="167"/>
      <c r="E173" s="56">
        <v>50</v>
      </c>
      <c r="F173" s="24">
        <f t="shared" si="31"/>
        <v>0</v>
      </c>
      <c r="G173" s="14">
        <v>130</v>
      </c>
      <c r="H173" s="66"/>
      <c r="I173" s="14">
        <f t="shared" si="32"/>
        <v>0</v>
      </c>
      <c r="J173" s="45"/>
      <c r="K173" s="42"/>
    </row>
    <row r="174" spans="1:243" ht="15" customHeight="1">
      <c r="A174" s="178" t="s">
        <v>166</v>
      </c>
      <c r="B174" s="179"/>
      <c r="C174" s="179"/>
      <c r="D174" s="180"/>
      <c r="E174" s="66">
        <v>60</v>
      </c>
      <c r="F174" s="24">
        <f t="shared" si="31"/>
        <v>0</v>
      </c>
      <c r="G174" s="14">
        <v>220</v>
      </c>
      <c r="H174" s="66"/>
      <c r="I174" s="14">
        <f t="shared" si="32"/>
        <v>0</v>
      </c>
      <c r="J174" s="45"/>
      <c r="K174" s="42"/>
    </row>
    <row r="175" spans="1:243" ht="25" customHeight="1">
      <c r="A175" s="134" t="s">
        <v>167</v>
      </c>
      <c r="B175" s="135"/>
      <c r="C175" s="135"/>
      <c r="D175" s="136"/>
      <c r="E175" s="56">
        <v>170</v>
      </c>
      <c r="F175" s="24">
        <f t="shared" si="31"/>
        <v>0</v>
      </c>
      <c r="G175" s="14">
        <v>650</v>
      </c>
      <c r="H175" s="66"/>
      <c r="I175" s="14">
        <f t="shared" si="32"/>
        <v>0</v>
      </c>
      <c r="J175" s="45"/>
      <c r="K175" s="42"/>
    </row>
    <row r="176" spans="1:243" ht="21.65" customHeight="1">
      <c r="A176" s="182" t="s">
        <v>168</v>
      </c>
      <c r="B176" s="183"/>
      <c r="C176" s="183"/>
      <c r="D176" s="184"/>
      <c r="E176" s="70">
        <v>50</v>
      </c>
      <c r="F176" s="24">
        <f t="shared" si="31"/>
        <v>0</v>
      </c>
      <c r="G176" s="14">
        <v>330</v>
      </c>
      <c r="H176" s="66"/>
      <c r="I176" s="14">
        <f t="shared" si="32"/>
        <v>0</v>
      </c>
      <c r="J176" s="45"/>
      <c r="K176" s="42"/>
    </row>
    <row r="177" spans="1:11" ht="25" customHeight="1">
      <c r="A177" s="168" t="s">
        <v>169</v>
      </c>
      <c r="B177" s="169"/>
      <c r="C177" s="169"/>
      <c r="D177" s="169"/>
      <c r="E177" s="25">
        <v>65</v>
      </c>
      <c r="F177" s="24">
        <f t="shared" si="31"/>
        <v>0</v>
      </c>
      <c r="G177" s="14">
        <v>250</v>
      </c>
      <c r="H177" s="72"/>
      <c r="I177" s="14">
        <f t="shared" si="32"/>
        <v>0</v>
      </c>
      <c r="J177" s="45"/>
      <c r="K177" s="42"/>
    </row>
    <row r="178" spans="1:11" ht="15" customHeight="1">
      <c r="A178" s="185" t="s">
        <v>170</v>
      </c>
      <c r="B178" s="186"/>
      <c r="C178" s="186"/>
      <c r="D178" s="186"/>
      <c r="E178" s="73">
        <v>80</v>
      </c>
      <c r="F178" s="41">
        <f t="shared" ref="F178" si="33">E178*H178/$D$10</f>
        <v>0</v>
      </c>
      <c r="G178" s="41">
        <v>80</v>
      </c>
      <c r="H178" s="74"/>
      <c r="I178" s="41">
        <f t="shared" ref="I178" si="34">H178*G178</f>
        <v>0</v>
      </c>
      <c r="J178" s="41"/>
      <c r="K178" s="42"/>
    </row>
    <row r="179" spans="1:11" ht="15" customHeight="1">
      <c r="A179" s="168" t="s">
        <v>171</v>
      </c>
      <c r="B179" s="169"/>
      <c r="C179" s="169"/>
      <c r="D179" s="169"/>
      <c r="E179" s="31">
        <v>30</v>
      </c>
      <c r="F179" s="24">
        <f t="shared" si="31"/>
        <v>0</v>
      </c>
      <c r="G179" s="14">
        <v>190</v>
      </c>
      <c r="H179" s="31"/>
      <c r="I179" s="14">
        <f t="shared" si="32"/>
        <v>0</v>
      </c>
      <c r="J179" s="45"/>
      <c r="K179" s="42"/>
    </row>
    <row r="180" spans="1:11" ht="15" customHeight="1">
      <c r="A180" s="134" t="s">
        <v>172</v>
      </c>
      <c r="B180" s="135"/>
      <c r="C180" s="135"/>
      <c r="D180" s="136"/>
      <c r="E180" s="31">
        <v>50</v>
      </c>
      <c r="F180" s="24">
        <f t="shared" si="31"/>
        <v>0</v>
      </c>
      <c r="G180" s="14">
        <v>160</v>
      </c>
      <c r="H180" s="31"/>
      <c r="I180" s="14">
        <f t="shared" si="32"/>
        <v>0</v>
      </c>
      <c r="J180" s="45"/>
      <c r="K180" s="42"/>
    </row>
    <row r="181" spans="1:11" ht="15" customHeight="1">
      <c r="A181" s="168" t="s">
        <v>173</v>
      </c>
      <c r="B181" s="169"/>
      <c r="C181" s="169"/>
      <c r="D181" s="169"/>
      <c r="E181" s="31">
        <v>50</v>
      </c>
      <c r="F181" s="24">
        <f t="shared" si="31"/>
        <v>0</v>
      </c>
      <c r="G181" s="14">
        <v>490</v>
      </c>
      <c r="H181" s="31"/>
      <c r="I181" s="14">
        <f t="shared" si="32"/>
        <v>0</v>
      </c>
      <c r="J181" s="45"/>
      <c r="K181" s="42"/>
    </row>
    <row r="182" spans="1:11" ht="15" customHeight="1">
      <c r="A182" s="134" t="s">
        <v>174</v>
      </c>
      <c r="B182" s="135"/>
      <c r="C182" s="135"/>
      <c r="D182" s="136"/>
      <c r="E182" s="31">
        <v>100</v>
      </c>
      <c r="F182" s="24">
        <f t="shared" si="31"/>
        <v>0</v>
      </c>
      <c r="G182" s="14">
        <v>85</v>
      </c>
      <c r="H182" s="31"/>
      <c r="I182" s="14">
        <f t="shared" si="32"/>
        <v>0</v>
      </c>
      <c r="J182" s="45"/>
      <c r="K182" s="42"/>
    </row>
    <row r="183" spans="1:11" ht="15" customHeight="1">
      <c r="A183" s="134" t="s">
        <v>175</v>
      </c>
      <c r="B183" s="135"/>
      <c r="C183" s="135"/>
      <c r="D183" s="136"/>
      <c r="E183" s="66">
        <v>75</v>
      </c>
      <c r="F183" s="24">
        <f t="shared" si="31"/>
        <v>0</v>
      </c>
      <c r="G183" s="14">
        <v>80</v>
      </c>
      <c r="H183" s="66"/>
      <c r="I183" s="14">
        <f t="shared" si="32"/>
        <v>0</v>
      </c>
      <c r="J183" s="45"/>
      <c r="K183" s="42"/>
    </row>
    <row r="184" spans="1:11" ht="15" customHeight="1">
      <c r="A184" s="134" t="s">
        <v>176</v>
      </c>
      <c r="B184" s="135"/>
      <c r="C184" s="135"/>
      <c r="D184" s="136"/>
      <c r="E184" s="66">
        <v>80</v>
      </c>
      <c r="F184" s="24">
        <f t="shared" si="31"/>
        <v>0</v>
      </c>
      <c r="G184" s="14">
        <v>80</v>
      </c>
      <c r="H184" s="66"/>
      <c r="I184" s="14">
        <f t="shared" si="32"/>
        <v>0</v>
      </c>
      <c r="J184" s="45"/>
      <c r="K184" s="42"/>
    </row>
    <row r="185" spans="1:11" ht="15" customHeight="1">
      <c r="A185" s="168" t="s">
        <v>177</v>
      </c>
      <c r="B185" s="169"/>
      <c r="C185" s="169"/>
      <c r="D185" s="169"/>
      <c r="E185" s="66">
        <v>80</v>
      </c>
      <c r="F185" s="24">
        <f t="shared" si="31"/>
        <v>0</v>
      </c>
      <c r="G185" s="14">
        <v>215</v>
      </c>
      <c r="H185" s="66"/>
      <c r="I185" s="14">
        <f t="shared" si="32"/>
        <v>0</v>
      </c>
      <c r="J185" s="45"/>
      <c r="K185" s="42"/>
    </row>
    <row r="186" spans="1:11" ht="15" customHeight="1">
      <c r="A186" s="134" t="s">
        <v>178</v>
      </c>
      <c r="B186" s="135"/>
      <c r="C186" s="135"/>
      <c r="D186" s="136"/>
      <c r="E186" s="66">
        <v>100</v>
      </c>
      <c r="F186" s="24">
        <f t="shared" si="31"/>
        <v>0</v>
      </c>
      <c r="G186" s="14">
        <v>115</v>
      </c>
      <c r="H186" s="66"/>
      <c r="I186" s="14">
        <f t="shared" si="32"/>
        <v>0</v>
      </c>
      <c r="J186" s="45"/>
      <c r="K186" s="42"/>
    </row>
    <row r="187" spans="1:11" ht="15" customHeight="1">
      <c r="A187" s="134" t="s">
        <v>179</v>
      </c>
      <c r="B187" s="135"/>
      <c r="C187" s="135"/>
      <c r="D187" s="136"/>
      <c r="E187" s="66">
        <v>80</v>
      </c>
      <c r="F187" s="24">
        <f t="shared" si="31"/>
        <v>0</v>
      </c>
      <c r="G187" s="14">
        <v>110</v>
      </c>
      <c r="H187" s="66"/>
      <c r="I187" s="14">
        <f t="shared" si="32"/>
        <v>0</v>
      </c>
      <c r="J187" s="45"/>
      <c r="K187" s="42"/>
    </row>
    <row r="188" spans="1:11" ht="15" customHeight="1">
      <c r="A188" s="104" t="s">
        <v>180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42"/>
    </row>
    <row r="189" spans="1:11" ht="25" customHeight="1">
      <c r="A189" s="112" t="s">
        <v>18</v>
      </c>
      <c r="B189" s="113"/>
      <c r="C189" s="113"/>
      <c r="D189" s="113"/>
      <c r="E189" s="12" t="s">
        <v>19</v>
      </c>
      <c r="F189" s="12" t="s">
        <v>20</v>
      </c>
      <c r="G189" s="12" t="s">
        <v>21</v>
      </c>
      <c r="H189" s="12" t="s">
        <v>22</v>
      </c>
      <c r="I189" s="12" t="s">
        <v>23</v>
      </c>
      <c r="J189" s="12"/>
      <c r="K189" s="42"/>
    </row>
    <row r="190" spans="1:11" ht="15" customHeight="1">
      <c r="A190" s="140" t="s">
        <v>181</v>
      </c>
      <c r="B190" s="141"/>
      <c r="C190" s="141"/>
      <c r="D190" s="141"/>
      <c r="E190" s="26">
        <v>100</v>
      </c>
      <c r="F190" s="24">
        <f t="shared" ref="F190:F197" si="35">E190*H190/$D$10</f>
        <v>0</v>
      </c>
      <c r="G190" s="14">
        <v>60</v>
      </c>
      <c r="H190" s="66"/>
      <c r="I190" s="14">
        <f t="shared" ref="I190:I197" si="36">H190*G190</f>
        <v>0</v>
      </c>
      <c r="J190" s="45"/>
      <c r="K190" s="42"/>
    </row>
    <row r="191" spans="1:11" ht="15" customHeight="1">
      <c r="A191" s="140" t="s">
        <v>182</v>
      </c>
      <c r="B191" s="141"/>
      <c r="C191" s="141"/>
      <c r="D191" s="141"/>
      <c r="E191" s="26">
        <v>100</v>
      </c>
      <c r="F191" s="24">
        <f t="shared" si="35"/>
        <v>0</v>
      </c>
      <c r="G191" s="14">
        <v>60</v>
      </c>
      <c r="H191" s="66"/>
      <c r="I191" s="14">
        <f t="shared" si="36"/>
        <v>0</v>
      </c>
      <c r="J191" s="45"/>
      <c r="K191" s="42"/>
    </row>
    <row r="192" spans="1:11" ht="15" customHeight="1">
      <c r="A192" s="129" t="s">
        <v>183</v>
      </c>
      <c r="B192" s="130"/>
      <c r="C192" s="130"/>
      <c r="D192" s="131"/>
      <c r="E192" s="26">
        <v>100</v>
      </c>
      <c r="F192" s="24">
        <f t="shared" si="35"/>
        <v>0</v>
      </c>
      <c r="G192" s="14">
        <v>100</v>
      </c>
      <c r="H192" s="66"/>
      <c r="I192" s="14">
        <f t="shared" si="36"/>
        <v>0</v>
      </c>
      <c r="J192" s="45"/>
      <c r="K192" s="42"/>
    </row>
    <row r="193" spans="1:11" ht="15" customHeight="1">
      <c r="A193" s="129" t="s">
        <v>184</v>
      </c>
      <c r="B193" s="130"/>
      <c r="C193" s="130"/>
      <c r="D193" s="131"/>
      <c r="E193" s="26">
        <v>100</v>
      </c>
      <c r="F193" s="24">
        <f t="shared" si="35"/>
        <v>0</v>
      </c>
      <c r="G193" s="14">
        <v>95</v>
      </c>
      <c r="H193" s="66"/>
      <c r="I193" s="14">
        <f t="shared" si="36"/>
        <v>0</v>
      </c>
      <c r="J193" s="45"/>
      <c r="K193" s="42"/>
    </row>
    <row r="194" spans="1:11" ht="15" customHeight="1">
      <c r="A194" s="134" t="s">
        <v>185</v>
      </c>
      <c r="B194" s="135"/>
      <c r="C194" s="135"/>
      <c r="D194" s="136"/>
      <c r="E194" s="66">
        <v>100</v>
      </c>
      <c r="F194" s="24">
        <f t="shared" si="35"/>
        <v>0</v>
      </c>
      <c r="G194" s="14">
        <v>90</v>
      </c>
      <c r="H194" s="66"/>
      <c r="I194" s="14">
        <f t="shared" si="36"/>
        <v>0</v>
      </c>
      <c r="J194" s="45"/>
      <c r="K194" s="42"/>
    </row>
    <row r="195" spans="1:11" ht="15" customHeight="1">
      <c r="A195" s="168" t="s">
        <v>186</v>
      </c>
      <c r="B195" s="169"/>
      <c r="C195" s="169"/>
      <c r="D195" s="169"/>
      <c r="E195" s="66">
        <v>150</v>
      </c>
      <c r="F195" s="24">
        <f t="shared" si="35"/>
        <v>0</v>
      </c>
      <c r="G195" s="14">
        <v>120</v>
      </c>
      <c r="H195" s="66"/>
      <c r="I195" s="14">
        <f t="shared" si="36"/>
        <v>0</v>
      </c>
      <c r="J195" s="45"/>
      <c r="K195" s="42"/>
    </row>
    <row r="196" spans="1:11" ht="15" customHeight="1">
      <c r="A196" s="168" t="s">
        <v>187</v>
      </c>
      <c r="B196" s="169"/>
      <c r="C196" s="169"/>
      <c r="D196" s="169"/>
      <c r="E196" s="66">
        <v>100</v>
      </c>
      <c r="F196" s="24">
        <f t="shared" ref="F196" si="37">E196*H196/$D$10</f>
        <v>0</v>
      </c>
      <c r="G196" s="14">
        <v>120</v>
      </c>
      <c r="H196" s="66"/>
      <c r="I196" s="14">
        <f t="shared" ref="I196" si="38">H196*G196</f>
        <v>0</v>
      </c>
      <c r="J196" s="45"/>
      <c r="K196" s="42"/>
    </row>
    <row r="197" spans="1:11" ht="15" customHeight="1">
      <c r="A197" s="168" t="s">
        <v>188</v>
      </c>
      <c r="B197" s="169"/>
      <c r="C197" s="169"/>
      <c r="D197" s="169"/>
      <c r="E197" s="66">
        <v>120</v>
      </c>
      <c r="F197" s="24">
        <f t="shared" si="35"/>
        <v>0</v>
      </c>
      <c r="G197" s="14">
        <v>220</v>
      </c>
      <c r="H197" s="66"/>
      <c r="I197" s="14">
        <f t="shared" si="36"/>
        <v>0</v>
      </c>
      <c r="J197" s="45"/>
      <c r="K197" s="42"/>
    </row>
    <row r="198" spans="1:11" ht="15" customHeight="1">
      <c r="A198" s="104" t="s">
        <v>189</v>
      </c>
      <c r="B198" s="105"/>
      <c r="C198" s="105"/>
      <c r="D198" s="105"/>
      <c r="E198" s="105"/>
      <c r="F198" s="105"/>
      <c r="G198" s="105"/>
      <c r="H198" s="105"/>
      <c r="I198" s="105"/>
      <c r="J198" s="105"/>
      <c r="K198" s="42"/>
    </row>
    <row r="199" spans="1:11" ht="25" customHeight="1">
      <c r="A199" s="112" t="s">
        <v>18</v>
      </c>
      <c r="B199" s="113"/>
      <c r="C199" s="113"/>
      <c r="D199" s="113"/>
      <c r="E199" s="12" t="s">
        <v>19</v>
      </c>
      <c r="F199" s="12" t="s">
        <v>20</v>
      </c>
      <c r="G199" s="12" t="s">
        <v>21</v>
      </c>
      <c r="H199" s="12" t="s">
        <v>22</v>
      </c>
      <c r="I199" s="12" t="s">
        <v>23</v>
      </c>
      <c r="J199" s="12"/>
      <c r="K199" s="42"/>
    </row>
    <row r="200" spans="1:11" ht="15" customHeight="1">
      <c r="A200" s="178" t="s">
        <v>190</v>
      </c>
      <c r="B200" s="179"/>
      <c r="C200" s="179"/>
      <c r="D200" s="180"/>
      <c r="E200" s="66">
        <v>50</v>
      </c>
      <c r="F200" s="24">
        <f t="shared" ref="F200:F205" si="39">E200*H200/$D$10</f>
        <v>0</v>
      </c>
      <c r="G200" s="14">
        <v>80</v>
      </c>
      <c r="H200" s="72"/>
      <c r="I200" s="14">
        <f t="shared" ref="I200:I205" si="40">H200*G200</f>
        <v>0</v>
      </c>
      <c r="J200" s="45"/>
      <c r="K200" s="42"/>
    </row>
    <row r="201" spans="1:11" ht="15" customHeight="1">
      <c r="A201" s="67" t="s">
        <v>191</v>
      </c>
      <c r="B201" s="68"/>
      <c r="C201" s="68"/>
      <c r="D201" s="69"/>
      <c r="E201" s="66">
        <v>50</v>
      </c>
      <c r="F201" s="24">
        <f t="shared" si="39"/>
        <v>0</v>
      </c>
      <c r="G201" s="14">
        <v>80</v>
      </c>
      <c r="H201" s="72"/>
      <c r="I201" s="14">
        <f t="shared" si="40"/>
        <v>0</v>
      </c>
      <c r="J201" s="45"/>
      <c r="K201" s="42"/>
    </row>
    <row r="202" spans="1:11" ht="15" customHeight="1">
      <c r="A202" s="178" t="s">
        <v>192</v>
      </c>
      <c r="B202" s="179"/>
      <c r="C202" s="179"/>
      <c r="D202" s="180"/>
      <c r="E202" s="66">
        <v>50</v>
      </c>
      <c r="F202" s="24">
        <f t="shared" si="39"/>
        <v>0</v>
      </c>
      <c r="G202" s="14">
        <v>80</v>
      </c>
      <c r="H202" s="72"/>
      <c r="I202" s="14">
        <f t="shared" si="40"/>
        <v>0</v>
      </c>
      <c r="J202" s="45"/>
      <c r="K202" s="42"/>
    </row>
    <row r="203" spans="1:11" ht="15" customHeight="1">
      <c r="A203" s="67" t="s">
        <v>193</v>
      </c>
      <c r="B203" s="68"/>
      <c r="C203" s="68"/>
      <c r="D203" s="69"/>
      <c r="E203" s="66">
        <v>50</v>
      </c>
      <c r="F203" s="24">
        <f t="shared" si="39"/>
        <v>0</v>
      </c>
      <c r="G203" s="14">
        <v>80</v>
      </c>
      <c r="H203" s="72"/>
      <c r="I203" s="14">
        <f t="shared" si="40"/>
        <v>0</v>
      </c>
      <c r="J203" s="45"/>
      <c r="K203" s="42"/>
    </row>
    <row r="204" spans="1:11" ht="15" customHeight="1">
      <c r="A204" s="187" t="s">
        <v>194</v>
      </c>
      <c r="B204" s="187"/>
      <c r="C204" s="187"/>
      <c r="D204" s="187"/>
      <c r="E204" s="66">
        <v>50</v>
      </c>
      <c r="F204" s="24">
        <f t="shared" si="39"/>
        <v>0</v>
      </c>
      <c r="G204" s="14">
        <v>80</v>
      </c>
      <c r="H204" s="72"/>
      <c r="I204" s="14">
        <f t="shared" si="40"/>
        <v>0</v>
      </c>
      <c r="J204" s="45"/>
      <c r="K204" s="42"/>
    </row>
    <row r="205" spans="1:11" ht="15" customHeight="1">
      <c r="A205" s="187" t="s">
        <v>195</v>
      </c>
      <c r="B205" s="187"/>
      <c r="C205" s="187"/>
      <c r="D205" s="187"/>
      <c r="E205" s="66">
        <v>50</v>
      </c>
      <c r="F205" s="24">
        <f t="shared" si="39"/>
        <v>0</v>
      </c>
      <c r="G205" s="14">
        <v>80</v>
      </c>
      <c r="H205" s="72"/>
      <c r="I205" s="14">
        <f t="shared" si="40"/>
        <v>0</v>
      </c>
      <c r="J205" s="45"/>
      <c r="K205" s="42"/>
    </row>
    <row r="206" spans="1:11" ht="15" customHeight="1">
      <c r="A206" s="118" t="s">
        <v>196</v>
      </c>
      <c r="B206" s="119"/>
      <c r="C206" s="119"/>
      <c r="D206" s="119"/>
      <c r="E206" s="119"/>
      <c r="F206" s="119"/>
      <c r="G206" s="119"/>
      <c r="H206" s="119"/>
      <c r="I206" s="119"/>
      <c r="J206" s="120"/>
      <c r="K206" s="42"/>
    </row>
    <row r="207" spans="1:11" ht="25" customHeight="1">
      <c r="A207" s="112" t="s">
        <v>18</v>
      </c>
      <c r="B207" s="113"/>
      <c r="C207" s="113"/>
      <c r="D207" s="113"/>
      <c r="E207" s="12" t="s">
        <v>19</v>
      </c>
      <c r="F207" s="12" t="s">
        <v>20</v>
      </c>
      <c r="G207" s="12" t="s">
        <v>21</v>
      </c>
      <c r="H207" s="12" t="s">
        <v>22</v>
      </c>
      <c r="I207" s="12" t="s">
        <v>23</v>
      </c>
      <c r="J207" s="12"/>
      <c r="K207" s="42"/>
    </row>
    <row r="208" spans="1:11" ht="15" customHeight="1">
      <c r="A208" s="156" t="s">
        <v>197</v>
      </c>
      <c r="B208" s="157"/>
      <c r="C208" s="157"/>
      <c r="D208" s="157"/>
      <c r="E208" s="157"/>
      <c r="F208" s="157"/>
      <c r="G208" s="157"/>
      <c r="H208" s="157"/>
      <c r="I208" s="157"/>
      <c r="J208" s="158"/>
      <c r="K208" s="42"/>
    </row>
    <row r="209" spans="1:55" ht="15" customHeight="1">
      <c r="A209" s="181" t="s">
        <v>198</v>
      </c>
      <c r="B209" s="181"/>
      <c r="C209" s="181"/>
      <c r="D209" s="181"/>
      <c r="E209" s="56">
        <v>40</v>
      </c>
      <c r="F209" s="24">
        <f t="shared" ref="F209:F271" si="41">E209*H209/$D$10</f>
        <v>0</v>
      </c>
      <c r="G209" s="14">
        <v>110</v>
      </c>
      <c r="H209" s="56"/>
      <c r="I209" s="14">
        <f>G209*H209</f>
        <v>0</v>
      </c>
      <c r="J209" s="45"/>
      <c r="K209" s="42"/>
    </row>
    <row r="210" spans="1:55" ht="15" customHeight="1">
      <c r="A210" s="181" t="s">
        <v>199</v>
      </c>
      <c r="B210" s="181"/>
      <c r="C210" s="181"/>
      <c r="D210" s="181"/>
      <c r="E210" s="56">
        <v>40</v>
      </c>
      <c r="F210" s="24">
        <f t="shared" si="41"/>
        <v>0</v>
      </c>
      <c r="G210" s="14">
        <v>110</v>
      </c>
      <c r="H210" s="56"/>
      <c r="I210" s="14">
        <f>G210*H210</f>
        <v>0</v>
      </c>
      <c r="J210" s="45"/>
      <c r="K210" s="42"/>
    </row>
    <row r="211" spans="1:55" ht="15" customHeight="1">
      <c r="A211" s="181" t="s">
        <v>200</v>
      </c>
      <c r="B211" s="181"/>
      <c r="C211" s="181"/>
      <c r="D211" s="181"/>
      <c r="E211" s="56">
        <v>40</v>
      </c>
      <c r="F211" s="24">
        <f t="shared" si="41"/>
        <v>0</v>
      </c>
      <c r="G211" s="14">
        <v>110</v>
      </c>
      <c r="H211" s="56"/>
      <c r="I211" s="14">
        <f t="shared" ref="I211:I217" si="42">G211*H211</f>
        <v>0</v>
      </c>
      <c r="J211" s="45"/>
      <c r="K211" s="42"/>
    </row>
    <row r="212" spans="1:55" ht="15" customHeight="1">
      <c r="A212" s="181" t="s">
        <v>201</v>
      </c>
      <c r="B212" s="181"/>
      <c r="C212" s="181"/>
      <c r="D212" s="181"/>
      <c r="E212" s="56">
        <v>40</v>
      </c>
      <c r="F212" s="24">
        <f t="shared" si="41"/>
        <v>0</v>
      </c>
      <c r="G212" s="14">
        <v>110</v>
      </c>
      <c r="H212" s="56"/>
      <c r="I212" s="14">
        <f t="shared" si="42"/>
        <v>0</v>
      </c>
      <c r="J212" s="45"/>
      <c r="K212" s="42"/>
      <c r="L212" s="78"/>
    </row>
    <row r="213" spans="1:55" ht="15" customHeight="1">
      <c r="A213" s="181" t="s">
        <v>202</v>
      </c>
      <c r="B213" s="181"/>
      <c r="C213" s="181"/>
      <c r="D213" s="181"/>
      <c r="E213" s="56">
        <v>40</v>
      </c>
      <c r="F213" s="24">
        <f t="shared" si="41"/>
        <v>0</v>
      </c>
      <c r="G213" s="14">
        <v>110</v>
      </c>
      <c r="H213" s="56"/>
      <c r="I213" s="14">
        <f t="shared" si="42"/>
        <v>0</v>
      </c>
      <c r="J213" s="45"/>
      <c r="K213" s="42"/>
      <c r="L213" s="78"/>
    </row>
    <row r="214" spans="1:55" ht="15" customHeight="1">
      <c r="A214" s="181" t="s">
        <v>203</v>
      </c>
      <c r="B214" s="181"/>
      <c r="C214" s="181"/>
      <c r="D214" s="181"/>
      <c r="E214" s="56">
        <v>40</v>
      </c>
      <c r="F214" s="24">
        <f t="shared" si="41"/>
        <v>0</v>
      </c>
      <c r="G214" s="14">
        <v>110</v>
      </c>
      <c r="H214" s="56"/>
      <c r="I214" s="14">
        <f t="shared" si="42"/>
        <v>0</v>
      </c>
      <c r="J214" s="45"/>
      <c r="K214" s="42"/>
      <c r="L214" s="78"/>
    </row>
    <row r="215" spans="1:55" ht="15" customHeight="1">
      <c r="A215" s="181" t="s">
        <v>204</v>
      </c>
      <c r="B215" s="181"/>
      <c r="C215" s="181"/>
      <c r="D215" s="181"/>
      <c r="E215" s="56">
        <v>40</v>
      </c>
      <c r="F215" s="24">
        <f t="shared" si="41"/>
        <v>0</v>
      </c>
      <c r="G215" s="14">
        <v>110</v>
      </c>
      <c r="H215" s="56"/>
      <c r="I215" s="14">
        <f t="shared" si="42"/>
        <v>0</v>
      </c>
      <c r="J215" s="45"/>
      <c r="K215" s="42"/>
    </row>
    <row r="216" spans="1:55" ht="15" customHeight="1">
      <c r="A216" s="121" t="s">
        <v>205</v>
      </c>
      <c r="B216" s="122"/>
      <c r="C216" s="122"/>
      <c r="D216" s="123"/>
      <c r="E216" s="65">
        <v>40</v>
      </c>
      <c r="F216" s="22">
        <f t="shared" si="41"/>
        <v>0</v>
      </c>
      <c r="G216" s="22">
        <v>110</v>
      </c>
      <c r="H216" s="65"/>
      <c r="I216" s="22">
        <f t="shared" si="42"/>
        <v>0</v>
      </c>
      <c r="J216" s="22"/>
      <c r="K216" s="42"/>
    </row>
    <row r="217" spans="1:55" ht="15" customHeight="1">
      <c r="A217" s="181" t="s">
        <v>206</v>
      </c>
      <c r="B217" s="181"/>
      <c r="C217" s="181"/>
      <c r="D217" s="181"/>
      <c r="E217" s="56">
        <v>30</v>
      </c>
      <c r="F217" s="24">
        <f t="shared" si="41"/>
        <v>0</v>
      </c>
      <c r="G217" s="14">
        <v>40</v>
      </c>
      <c r="H217" s="56"/>
      <c r="I217" s="14">
        <f t="shared" si="42"/>
        <v>0</v>
      </c>
      <c r="J217" s="45"/>
      <c r="K217" s="42"/>
    </row>
    <row r="218" spans="1:55" ht="15" customHeight="1">
      <c r="A218" s="181" t="s">
        <v>207</v>
      </c>
      <c r="B218" s="181"/>
      <c r="C218" s="181"/>
      <c r="D218" s="181"/>
      <c r="E218" s="56">
        <v>30</v>
      </c>
      <c r="F218" s="24">
        <f t="shared" si="41"/>
        <v>0</v>
      </c>
      <c r="G218" s="14">
        <v>100</v>
      </c>
      <c r="H218" s="56"/>
      <c r="I218" s="14">
        <f t="shared" ref="I218" si="43">G218*H218</f>
        <v>0</v>
      </c>
      <c r="J218" s="45"/>
      <c r="K218" s="42"/>
    </row>
    <row r="219" spans="1:55" ht="15" customHeight="1">
      <c r="A219" s="181" t="s">
        <v>208</v>
      </c>
      <c r="B219" s="181"/>
      <c r="C219" s="181"/>
      <c r="D219" s="181"/>
      <c r="E219" s="56">
        <v>30</v>
      </c>
      <c r="F219" s="24">
        <f t="shared" si="41"/>
        <v>0</v>
      </c>
      <c r="G219" s="14">
        <v>50</v>
      </c>
      <c r="H219" s="56"/>
      <c r="I219" s="14">
        <f t="shared" ref="I219:I229" si="44">H219*G219</f>
        <v>0</v>
      </c>
      <c r="J219" s="45"/>
      <c r="K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</row>
    <row r="220" spans="1:55" ht="15" customHeight="1">
      <c r="A220" s="181" t="s">
        <v>209</v>
      </c>
      <c r="B220" s="188"/>
      <c r="C220" s="188"/>
      <c r="D220" s="188"/>
      <c r="E220" s="56">
        <v>30</v>
      </c>
      <c r="F220" s="24">
        <f t="shared" si="41"/>
        <v>0</v>
      </c>
      <c r="G220" s="14">
        <v>60</v>
      </c>
      <c r="H220" s="25"/>
      <c r="I220" s="14">
        <f t="shared" si="44"/>
        <v>0</v>
      </c>
      <c r="J220" s="45"/>
      <c r="K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</row>
    <row r="221" spans="1:55" ht="15" customHeight="1">
      <c r="A221" s="181" t="s">
        <v>210</v>
      </c>
      <c r="B221" s="188"/>
      <c r="C221" s="188"/>
      <c r="D221" s="188"/>
      <c r="E221" s="56">
        <v>30</v>
      </c>
      <c r="F221" s="24">
        <f t="shared" si="41"/>
        <v>0</v>
      </c>
      <c r="G221" s="14">
        <v>30</v>
      </c>
      <c r="H221" s="56"/>
      <c r="I221" s="14">
        <f t="shared" si="44"/>
        <v>0</v>
      </c>
      <c r="J221" s="45"/>
      <c r="K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</row>
    <row r="222" spans="1:55" ht="15" customHeight="1">
      <c r="A222" s="189" t="s">
        <v>211</v>
      </c>
      <c r="B222" s="190"/>
      <c r="C222" s="190"/>
      <c r="D222" s="191"/>
      <c r="E222" s="56">
        <v>30</v>
      </c>
      <c r="F222" s="24">
        <f t="shared" si="41"/>
        <v>0</v>
      </c>
      <c r="G222" s="14">
        <v>30</v>
      </c>
      <c r="H222" s="56"/>
      <c r="I222" s="14">
        <f t="shared" si="44"/>
        <v>0</v>
      </c>
      <c r="J222" s="45"/>
      <c r="K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</row>
    <row r="223" spans="1:55" ht="15" customHeight="1">
      <c r="A223" s="189" t="s">
        <v>212</v>
      </c>
      <c r="B223" s="190"/>
      <c r="C223" s="190"/>
      <c r="D223" s="191"/>
      <c r="E223" s="56">
        <v>30</v>
      </c>
      <c r="F223" s="24">
        <f t="shared" si="41"/>
        <v>0</v>
      </c>
      <c r="G223" s="14">
        <v>50</v>
      </c>
      <c r="H223" s="56"/>
      <c r="I223" s="14">
        <f t="shared" si="44"/>
        <v>0</v>
      </c>
      <c r="J223" s="45"/>
      <c r="K223" s="42"/>
    </row>
    <row r="224" spans="1:55" ht="15" customHeight="1">
      <c r="A224" s="189" t="s">
        <v>213</v>
      </c>
      <c r="B224" s="190"/>
      <c r="C224" s="190"/>
      <c r="D224" s="191"/>
      <c r="E224" s="56">
        <v>30</v>
      </c>
      <c r="F224" s="24">
        <f t="shared" si="41"/>
        <v>0</v>
      </c>
      <c r="G224" s="14">
        <v>30</v>
      </c>
      <c r="H224" s="56"/>
      <c r="I224" s="14">
        <f t="shared" si="44"/>
        <v>0</v>
      </c>
      <c r="J224" s="45"/>
      <c r="K224" s="42"/>
    </row>
    <row r="225" spans="1:57" ht="15" customHeight="1">
      <c r="A225" s="189" t="s">
        <v>214</v>
      </c>
      <c r="B225" s="190"/>
      <c r="C225" s="190"/>
      <c r="D225" s="191"/>
      <c r="E225" s="56">
        <v>30</v>
      </c>
      <c r="F225" s="24">
        <f t="shared" si="41"/>
        <v>0</v>
      </c>
      <c r="G225" s="14">
        <v>40</v>
      </c>
      <c r="H225" s="56"/>
      <c r="I225" s="14">
        <f t="shared" si="44"/>
        <v>0</v>
      </c>
      <c r="J225" s="45"/>
      <c r="K225" s="42"/>
    </row>
    <row r="226" spans="1:57" ht="15" customHeight="1">
      <c r="A226" s="189" t="s">
        <v>215</v>
      </c>
      <c r="B226" s="190"/>
      <c r="C226" s="190"/>
      <c r="D226" s="191"/>
      <c r="E226" s="56">
        <v>30</v>
      </c>
      <c r="F226" s="24">
        <f t="shared" si="41"/>
        <v>0</v>
      </c>
      <c r="G226" s="14">
        <v>60</v>
      </c>
      <c r="H226" s="56"/>
      <c r="I226" s="14">
        <f t="shared" si="44"/>
        <v>0</v>
      </c>
      <c r="J226" s="45"/>
      <c r="K226" s="42"/>
    </row>
    <row r="227" spans="1:57" ht="15" customHeight="1">
      <c r="A227" s="189" t="s">
        <v>216</v>
      </c>
      <c r="B227" s="190"/>
      <c r="C227" s="190"/>
      <c r="D227" s="191"/>
      <c r="E227" s="56">
        <v>30</v>
      </c>
      <c r="F227" s="24">
        <f t="shared" si="41"/>
        <v>0</v>
      </c>
      <c r="G227" s="14">
        <v>80</v>
      </c>
      <c r="H227" s="56"/>
      <c r="I227" s="14">
        <f t="shared" si="44"/>
        <v>0</v>
      </c>
      <c r="J227" s="45"/>
      <c r="K227" s="42"/>
    </row>
    <row r="228" spans="1:57" ht="15" customHeight="1">
      <c r="A228" s="189" t="s">
        <v>217</v>
      </c>
      <c r="B228" s="190"/>
      <c r="C228" s="190"/>
      <c r="D228" s="191"/>
      <c r="E228" s="56">
        <v>30</v>
      </c>
      <c r="F228" s="24">
        <f t="shared" si="41"/>
        <v>0</v>
      </c>
      <c r="G228" s="14">
        <v>60</v>
      </c>
      <c r="H228" s="56"/>
      <c r="I228" s="14">
        <f t="shared" si="44"/>
        <v>0</v>
      </c>
      <c r="J228" s="45"/>
      <c r="K228" s="42"/>
    </row>
    <row r="229" spans="1:57" ht="15" customHeight="1">
      <c r="A229" s="189" t="s">
        <v>218</v>
      </c>
      <c r="B229" s="190"/>
      <c r="C229" s="190"/>
      <c r="D229" s="191"/>
      <c r="E229" s="56">
        <v>30</v>
      </c>
      <c r="F229" s="24">
        <f t="shared" si="41"/>
        <v>0</v>
      </c>
      <c r="G229" s="14">
        <v>150</v>
      </c>
      <c r="H229" s="56"/>
      <c r="I229" s="14">
        <f t="shared" si="44"/>
        <v>0</v>
      </c>
      <c r="J229" s="45"/>
      <c r="K229" s="42"/>
    </row>
    <row r="230" spans="1:57" ht="15" customHeight="1">
      <c r="A230" s="156" t="s">
        <v>219</v>
      </c>
      <c r="B230" s="157"/>
      <c r="C230" s="157"/>
      <c r="D230" s="157"/>
      <c r="E230" s="157"/>
      <c r="F230" s="157"/>
      <c r="G230" s="157"/>
      <c r="H230" s="157"/>
      <c r="I230" s="157"/>
      <c r="J230" s="158"/>
      <c r="K230" s="42"/>
    </row>
    <row r="231" spans="1:57" ht="15" customHeight="1">
      <c r="A231" s="181" t="s">
        <v>220</v>
      </c>
      <c r="B231" s="181"/>
      <c r="C231" s="181"/>
      <c r="D231" s="181"/>
      <c r="E231" s="56">
        <v>50</v>
      </c>
      <c r="F231" s="24">
        <f t="shared" si="41"/>
        <v>0</v>
      </c>
      <c r="G231" s="14">
        <v>75</v>
      </c>
      <c r="H231" s="56"/>
      <c r="I231" s="14">
        <f t="shared" ref="I231:I239" si="45">H231*G231</f>
        <v>0</v>
      </c>
      <c r="J231" s="45"/>
      <c r="K231" s="42"/>
    </row>
    <row r="232" spans="1:57" ht="15" customHeight="1">
      <c r="A232" s="181" t="s">
        <v>221</v>
      </c>
      <c r="B232" s="188"/>
      <c r="C232" s="188"/>
      <c r="D232" s="188"/>
      <c r="E232" s="56">
        <v>50</v>
      </c>
      <c r="F232" s="24">
        <f t="shared" si="41"/>
        <v>0</v>
      </c>
      <c r="G232" s="14">
        <v>75</v>
      </c>
      <c r="H232" s="56"/>
      <c r="I232" s="14">
        <f t="shared" si="45"/>
        <v>0</v>
      </c>
      <c r="J232" s="45"/>
      <c r="K232" s="42"/>
    </row>
    <row r="233" spans="1:57" ht="15" customHeight="1">
      <c r="A233" s="181" t="s">
        <v>222</v>
      </c>
      <c r="B233" s="188"/>
      <c r="C233" s="188"/>
      <c r="D233" s="188"/>
      <c r="E233" s="56">
        <v>50</v>
      </c>
      <c r="F233" s="24">
        <f t="shared" si="41"/>
        <v>0</v>
      </c>
      <c r="G233" s="14">
        <v>50</v>
      </c>
      <c r="H233" s="56"/>
      <c r="I233" s="14">
        <f t="shared" si="45"/>
        <v>0</v>
      </c>
      <c r="J233" s="45"/>
      <c r="K233" s="42"/>
    </row>
    <row r="234" spans="1:57" ht="15" customHeight="1">
      <c r="A234" s="189" t="s">
        <v>202</v>
      </c>
      <c r="B234" s="190"/>
      <c r="C234" s="190"/>
      <c r="D234" s="191"/>
      <c r="E234" s="56">
        <v>50</v>
      </c>
      <c r="F234" s="24">
        <f t="shared" si="41"/>
        <v>0</v>
      </c>
      <c r="G234" s="14">
        <v>50</v>
      </c>
      <c r="H234" s="56"/>
      <c r="I234" s="14">
        <f t="shared" si="45"/>
        <v>0</v>
      </c>
      <c r="J234" s="45"/>
      <c r="K234" s="42"/>
    </row>
    <row r="235" spans="1:57" ht="15" customHeight="1">
      <c r="A235" s="189" t="s">
        <v>223</v>
      </c>
      <c r="B235" s="190"/>
      <c r="C235" s="190"/>
      <c r="D235" s="191"/>
      <c r="E235" s="56">
        <v>50</v>
      </c>
      <c r="F235" s="24">
        <f t="shared" si="41"/>
        <v>0</v>
      </c>
      <c r="G235" s="14">
        <v>75</v>
      </c>
      <c r="H235" s="56"/>
      <c r="I235" s="14">
        <f t="shared" si="45"/>
        <v>0</v>
      </c>
      <c r="J235" s="45"/>
      <c r="K235" s="42"/>
    </row>
    <row r="236" spans="1:57" ht="15" customHeight="1">
      <c r="A236" s="189" t="s">
        <v>224</v>
      </c>
      <c r="B236" s="190"/>
      <c r="C236" s="190"/>
      <c r="D236" s="191"/>
      <c r="E236" s="56">
        <v>50</v>
      </c>
      <c r="F236" s="24">
        <f t="shared" si="41"/>
        <v>0</v>
      </c>
      <c r="G236" s="14">
        <v>75</v>
      </c>
      <c r="H236" s="56"/>
      <c r="I236" s="14">
        <f t="shared" si="45"/>
        <v>0</v>
      </c>
      <c r="J236" s="45"/>
      <c r="K236" s="42"/>
    </row>
    <row r="237" spans="1:57" ht="15" customHeight="1">
      <c r="A237" s="189" t="s">
        <v>225</v>
      </c>
      <c r="B237" s="190"/>
      <c r="C237" s="190"/>
      <c r="D237" s="191"/>
      <c r="E237" s="56">
        <v>50</v>
      </c>
      <c r="F237" s="24">
        <f t="shared" si="41"/>
        <v>0</v>
      </c>
      <c r="G237" s="14">
        <v>75</v>
      </c>
      <c r="H237" s="56"/>
      <c r="I237" s="14">
        <f t="shared" si="45"/>
        <v>0</v>
      </c>
      <c r="J237" s="45"/>
      <c r="K237" s="42"/>
    </row>
    <row r="238" spans="1:57" ht="15" customHeight="1">
      <c r="A238" s="189" t="s">
        <v>226</v>
      </c>
      <c r="B238" s="190"/>
      <c r="C238" s="190"/>
      <c r="D238" s="191"/>
      <c r="E238" s="56">
        <v>50</v>
      </c>
      <c r="F238" s="24">
        <f t="shared" si="41"/>
        <v>0</v>
      </c>
      <c r="G238" s="14">
        <v>75</v>
      </c>
      <c r="H238" s="56"/>
      <c r="I238" s="14">
        <f t="shared" si="45"/>
        <v>0</v>
      </c>
      <c r="J238" s="45"/>
      <c r="K238" s="42"/>
      <c r="AN238" s="42"/>
      <c r="AO238" s="42"/>
      <c r="BD238" s="42"/>
      <c r="BE238" s="42"/>
    </row>
    <row r="239" spans="1:57" ht="15" customHeight="1">
      <c r="A239" s="189" t="s">
        <v>205</v>
      </c>
      <c r="B239" s="190"/>
      <c r="C239" s="190"/>
      <c r="D239" s="191"/>
      <c r="E239" s="56">
        <v>50</v>
      </c>
      <c r="F239" s="24">
        <f t="shared" si="41"/>
        <v>0</v>
      </c>
      <c r="G239" s="14">
        <v>115</v>
      </c>
      <c r="H239" s="56"/>
      <c r="I239" s="14">
        <f t="shared" si="45"/>
        <v>0</v>
      </c>
      <c r="J239" s="45"/>
      <c r="K239" s="42"/>
      <c r="AN239" s="42"/>
      <c r="AO239" s="42"/>
      <c r="BD239" s="42"/>
      <c r="BE239" s="42"/>
    </row>
    <row r="240" spans="1:57" ht="15" customHeight="1">
      <c r="A240" s="156" t="s">
        <v>227</v>
      </c>
      <c r="B240" s="157"/>
      <c r="C240" s="157"/>
      <c r="D240" s="157"/>
      <c r="E240" s="157"/>
      <c r="F240" s="157"/>
      <c r="G240" s="157"/>
      <c r="H240" s="157"/>
      <c r="I240" s="157"/>
      <c r="J240" s="158"/>
      <c r="K240" s="42"/>
      <c r="AN240" s="42"/>
      <c r="AO240" s="42"/>
      <c r="BD240" s="42"/>
      <c r="BE240" s="42"/>
    </row>
    <row r="241" spans="1:243" ht="15" customHeight="1">
      <c r="A241" s="189" t="s">
        <v>228</v>
      </c>
      <c r="B241" s="190"/>
      <c r="C241" s="190"/>
      <c r="D241" s="191"/>
      <c r="E241" s="56">
        <v>820</v>
      </c>
      <c r="F241" s="24">
        <f t="shared" ref="F241" si="46">E241*H241/$D$10</f>
        <v>0</v>
      </c>
      <c r="G241" s="14">
        <v>600</v>
      </c>
      <c r="H241" s="56"/>
      <c r="I241" s="14">
        <f t="shared" ref="I241" si="47">H241*G241</f>
        <v>0</v>
      </c>
      <c r="J241" s="45"/>
      <c r="K241" s="42"/>
      <c r="AN241" s="42"/>
      <c r="AO241" s="42"/>
      <c r="BD241" s="42"/>
      <c r="BE241" s="42"/>
    </row>
    <row r="242" spans="1:243" ht="15" customHeight="1">
      <c r="A242" s="189" t="s">
        <v>229</v>
      </c>
      <c r="B242" s="190"/>
      <c r="C242" s="190"/>
      <c r="D242" s="191"/>
      <c r="E242" s="56">
        <v>80</v>
      </c>
      <c r="F242" s="24">
        <f t="shared" si="41"/>
        <v>0</v>
      </c>
      <c r="G242" s="14">
        <v>85</v>
      </c>
      <c r="H242" s="56"/>
      <c r="I242" s="14">
        <f t="shared" ref="I242:I248" si="48">H242*G242</f>
        <v>0</v>
      </c>
      <c r="J242" s="45"/>
      <c r="K242" s="42"/>
      <c r="AN242" s="42"/>
      <c r="AO242" s="42"/>
      <c r="BD242" s="42"/>
      <c r="BE242" s="42"/>
    </row>
    <row r="243" spans="1:243" ht="15" customHeight="1">
      <c r="A243" s="189" t="s">
        <v>230</v>
      </c>
      <c r="B243" s="190"/>
      <c r="C243" s="190"/>
      <c r="D243" s="191"/>
      <c r="E243" s="56">
        <v>70</v>
      </c>
      <c r="F243" s="24">
        <f t="shared" si="41"/>
        <v>0</v>
      </c>
      <c r="G243" s="14">
        <v>115</v>
      </c>
      <c r="H243" s="56"/>
      <c r="I243" s="14">
        <f t="shared" si="48"/>
        <v>0</v>
      </c>
      <c r="J243" s="45"/>
      <c r="K243" s="42"/>
    </row>
    <row r="244" spans="1:243" ht="15" customHeight="1">
      <c r="A244" s="189" t="s">
        <v>231</v>
      </c>
      <c r="B244" s="190"/>
      <c r="C244" s="190"/>
      <c r="D244" s="191"/>
      <c r="E244" s="56">
        <v>80</v>
      </c>
      <c r="F244" s="24">
        <f t="shared" si="41"/>
        <v>0</v>
      </c>
      <c r="G244" s="14">
        <v>140</v>
      </c>
      <c r="H244" s="56"/>
      <c r="I244" s="14">
        <f t="shared" si="48"/>
        <v>0</v>
      </c>
      <c r="J244" s="45"/>
      <c r="K244" s="42"/>
    </row>
    <row r="245" spans="1:243" ht="15" customHeight="1">
      <c r="A245" s="189" t="s">
        <v>232</v>
      </c>
      <c r="B245" s="190"/>
      <c r="C245" s="190"/>
      <c r="D245" s="191"/>
      <c r="E245" s="56">
        <v>80</v>
      </c>
      <c r="F245" s="24">
        <f t="shared" si="41"/>
        <v>0</v>
      </c>
      <c r="G245" s="14">
        <v>210</v>
      </c>
      <c r="H245" s="56"/>
      <c r="I245" s="14">
        <f t="shared" si="48"/>
        <v>0</v>
      </c>
      <c r="J245" s="45"/>
      <c r="K245" s="42"/>
    </row>
    <row r="246" spans="1:243" ht="15" customHeight="1">
      <c r="A246" s="189" t="s">
        <v>233</v>
      </c>
      <c r="B246" s="190"/>
      <c r="C246" s="190"/>
      <c r="D246" s="191"/>
      <c r="E246" s="56">
        <v>80</v>
      </c>
      <c r="F246" s="24">
        <f t="shared" si="41"/>
        <v>0</v>
      </c>
      <c r="G246" s="14">
        <v>150</v>
      </c>
      <c r="H246" s="56"/>
      <c r="I246" s="14">
        <f t="shared" si="48"/>
        <v>0</v>
      </c>
      <c r="J246" s="45"/>
      <c r="K246" s="42"/>
    </row>
    <row r="247" spans="1:243" s="2" customFormat="1" ht="15" customHeight="1">
      <c r="A247" s="189" t="s">
        <v>234</v>
      </c>
      <c r="B247" s="190"/>
      <c r="C247" s="190"/>
      <c r="D247" s="191"/>
      <c r="E247" s="56">
        <v>320</v>
      </c>
      <c r="F247" s="24">
        <f t="shared" si="41"/>
        <v>0</v>
      </c>
      <c r="G247" s="14">
        <v>220</v>
      </c>
      <c r="H247" s="56"/>
      <c r="I247" s="14">
        <f t="shared" si="48"/>
        <v>0</v>
      </c>
      <c r="J247" s="45"/>
      <c r="K247" s="42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</row>
    <row r="248" spans="1:243" s="2" customFormat="1" ht="15" customHeight="1">
      <c r="A248" s="189" t="s">
        <v>235</v>
      </c>
      <c r="B248" s="190"/>
      <c r="C248" s="190"/>
      <c r="D248" s="191"/>
      <c r="E248" s="56">
        <v>90</v>
      </c>
      <c r="F248" s="24">
        <f t="shared" si="41"/>
        <v>0</v>
      </c>
      <c r="G248" s="14">
        <v>85</v>
      </c>
      <c r="H248" s="56"/>
      <c r="I248" s="14">
        <f t="shared" si="48"/>
        <v>0</v>
      </c>
      <c r="J248" s="45"/>
      <c r="K248" s="42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6"/>
      <c r="IB248" s="6"/>
      <c r="IC248" s="6"/>
      <c r="ID248" s="6"/>
      <c r="IE248" s="6"/>
      <c r="IF248" s="6"/>
      <c r="IG248" s="6"/>
      <c r="IH248" s="6"/>
      <c r="II248" s="6"/>
    </row>
    <row r="249" spans="1:243" s="2" customFormat="1" ht="15" customHeight="1">
      <c r="A249" s="156" t="s">
        <v>236</v>
      </c>
      <c r="B249" s="157"/>
      <c r="C249" s="157"/>
      <c r="D249" s="157"/>
      <c r="E249" s="157"/>
      <c r="F249" s="157"/>
      <c r="G249" s="157"/>
      <c r="H249" s="157"/>
      <c r="I249" s="157"/>
      <c r="J249" s="158"/>
      <c r="K249" s="42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</row>
    <row r="250" spans="1:243" ht="15" customHeight="1">
      <c r="A250" s="189" t="s">
        <v>237</v>
      </c>
      <c r="B250" s="190"/>
      <c r="C250" s="190"/>
      <c r="D250" s="191"/>
      <c r="E250" s="56">
        <v>150</v>
      </c>
      <c r="F250" s="24">
        <f t="shared" si="41"/>
        <v>0</v>
      </c>
      <c r="G250" s="14">
        <v>340</v>
      </c>
      <c r="H250" s="56"/>
      <c r="I250" s="14">
        <f t="shared" ref="I250:I255" si="49">H250*G250</f>
        <v>0</v>
      </c>
      <c r="J250" s="45"/>
      <c r="K250" s="42"/>
    </row>
    <row r="251" spans="1:243" ht="15" customHeight="1">
      <c r="A251" s="189" t="s">
        <v>238</v>
      </c>
      <c r="B251" s="190"/>
      <c r="C251" s="190"/>
      <c r="D251" s="191"/>
      <c r="E251" s="56">
        <v>150</v>
      </c>
      <c r="F251" s="24">
        <f t="shared" si="41"/>
        <v>0</v>
      </c>
      <c r="G251" s="14">
        <v>250</v>
      </c>
      <c r="H251" s="56"/>
      <c r="I251" s="14">
        <f t="shared" si="49"/>
        <v>0</v>
      </c>
      <c r="J251" s="45"/>
      <c r="K251" s="42"/>
    </row>
    <row r="252" spans="1:243" ht="15" customHeight="1">
      <c r="A252" s="189" t="s">
        <v>239</v>
      </c>
      <c r="B252" s="190"/>
      <c r="C252" s="190"/>
      <c r="D252" s="191"/>
      <c r="E252" s="56">
        <v>150</v>
      </c>
      <c r="F252" s="24">
        <f t="shared" si="41"/>
        <v>0</v>
      </c>
      <c r="G252" s="14">
        <v>250</v>
      </c>
      <c r="H252" s="56"/>
      <c r="I252" s="14">
        <f t="shared" si="49"/>
        <v>0</v>
      </c>
      <c r="J252" s="45"/>
      <c r="K252" s="42"/>
    </row>
    <row r="253" spans="1:243" ht="15" customHeight="1">
      <c r="A253" s="189" t="s">
        <v>240</v>
      </c>
      <c r="B253" s="190"/>
      <c r="C253" s="190"/>
      <c r="D253" s="191"/>
      <c r="E253" s="56">
        <v>150</v>
      </c>
      <c r="F253" s="24">
        <f t="shared" si="41"/>
        <v>0</v>
      </c>
      <c r="G253" s="14">
        <v>350</v>
      </c>
      <c r="H253" s="56"/>
      <c r="I253" s="14">
        <f t="shared" si="49"/>
        <v>0</v>
      </c>
      <c r="J253" s="45"/>
      <c r="K253" s="42"/>
    </row>
    <row r="254" spans="1:243" ht="15" customHeight="1">
      <c r="A254" s="189" t="s">
        <v>241</v>
      </c>
      <c r="B254" s="190"/>
      <c r="C254" s="190"/>
      <c r="D254" s="191"/>
      <c r="E254" s="56">
        <v>150</v>
      </c>
      <c r="F254" s="24">
        <f t="shared" si="41"/>
        <v>0</v>
      </c>
      <c r="G254" s="14">
        <v>250</v>
      </c>
      <c r="H254" s="56"/>
      <c r="I254" s="14">
        <f t="shared" si="49"/>
        <v>0</v>
      </c>
      <c r="J254" s="45"/>
      <c r="K254" s="42"/>
    </row>
    <row r="255" spans="1:243" ht="15" customHeight="1">
      <c r="A255" s="189" t="s">
        <v>242</v>
      </c>
      <c r="B255" s="190"/>
      <c r="C255" s="190"/>
      <c r="D255" s="191"/>
      <c r="E255" s="56">
        <v>150</v>
      </c>
      <c r="F255" s="24">
        <f t="shared" si="41"/>
        <v>0</v>
      </c>
      <c r="G255" s="14">
        <v>320</v>
      </c>
      <c r="H255" s="56"/>
      <c r="I255" s="14">
        <f t="shared" si="49"/>
        <v>0</v>
      </c>
      <c r="J255" s="45"/>
      <c r="K255" s="42"/>
    </row>
    <row r="256" spans="1:243" ht="15" customHeight="1">
      <c r="A256" s="156" t="s">
        <v>243</v>
      </c>
      <c r="B256" s="157"/>
      <c r="C256" s="157"/>
      <c r="D256" s="157"/>
      <c r="E256" s="157"/>
      <c r="F256" s="157"/>
      <c r="G256" s="157"/>
      <c r="H256" s="157"/>
      <c r="I256" s="157"/>
      <c r="J256" s="158"/>
      <c r="K256" s="42"/>
    </row>
    <row r="257" spans="1:243" s="5" customFormat="1" ht="15" customHeight="1">
      <c r="A257" s="192" t="s">
        <v>244</v>
      </c>
      <c r="B257" s="193" t="s">
        <v>245</v>
      </c>
      <c r="C257" s="193" t="s">
        <v>245</v>
      </c>
      <c r="D257" s="194" t="s">
        <v>245</v>
      </c>
      <c r="E257" s="84">
        <v>75</v>
      </c>
      <c r="F257" s="24">
        <f t="shared" si="41"/>
        <v>0</v>
      </c>
      <c r="G257" s="14">
        <v>180</v>
      </c>
      <c r="H257" s="85"/>
      <c r="I257" s="14">
        <f t="shared" ref="I257:I262" si="50">H257*G257</f>
        <v>0</v>
      </c>
      <c r="J257" s="45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42"/>
      <c r="BG257" s="42"/>
      <c r="BH257" s="42"/>
      <c r="BI257" s="42"/>
      <c r="BJ257" s="42"/>
      <c r="BK257" s="42"/>
      <c r="BL257" s="42"/>
      <c r="BM257" s="42"/>
      <c r="BN257" s="42"/>
      <c r="BO257" s="42"/>
      <c r="BP257" s="42"/>
      <c r="BQ257" s="42"/>
      <c r="BR257" s="42"/>
      <c r="BS257" s="42"/>
      <c r="BT257" s="42"/>
      <c r="BU257" s="42"/>
      <c r="BV257" s="42"/>
      <c r="BW257" s="42"/>
      <c r="BX257" s="42"/>
      <c r="BY257" s="42"/>
      <c r="BZ257" s="42"/>
      <c r="CA257" s="42"/>
      <c r="CB257" s="42"/>
      <c r="CC257" s="42"/>
      <c r="CD257" s="42"/>
      <c r="CE257" s="42"/>
      <c r="CF257" s="42"/>
      <c r="CG257" s="42"/>
      <c r="CH257" s="42"/>
      <c r="CI257" s="42"/>
      <c r="CJ257" s="42"/>
      <c r="CK257" s="42"/>
      <c r="CL257" s="42"/>
      <c r="CM257" s="42"/>
      <c r="CN257" s="42"/>
      <c r="CO257" s="42"/>
      <c r="CP257" s="42"/>
      <c r="CQ257" s="42"/>
      <c r="CR257" s="42"/>
      <c r="CS257" s="42"/>
      <c r="CT257" s="42"/>
      <c r="CU257" s="42"/>
      <c r="CV257" s="42"/>
      <c r="CW257" s="42"/>
      <c r="CX257" s="42"/>
      <c r="CY257" s="42"/>
      <c r="CZ257" s="42"/>
      <c r="DA257" s="42"/>
      <c r="DB257" s="42"/>
      <c r="DC257" s="42"/>
      <c r="DD257" s="42"/>
      <c r="DE257" s="42"/>
      <c r="DF257" s="42"/>
      <c r="DG257" s="42"/>
      <c r="DH257" s="42"/>
      <c r="DI257" s="42"/>
      <c r="DJ257" s="42"/>
      <c r="DK257" s="42"/>
      <c r="DL257" s="42"/>
      <c r="DM257" s="42"/>
      <c r="DN257" s="42"/>
      <c r="DO257" s="42"/>
      <c r="DP257" s="42"/>
      <c r="DQ257" s="42"/>
      <c r="DR257" s="42"/>
      <c r="DS257" s="42"/>
      <c r="DT257" s="42"/>
      <c r="DU257" s="42"/>
      <c r="DV257" s="42"/>
      <c r="DW257" s="42"/>
      <c r="DX257" s="42"/>
      <c r="DY257" s="42"/>
      <c r="DZ257" s="42"/>
      <c r="EA257" s="42"/>
      <c r="EB257" s="42"/>
      <c r="EC257" s="42"/>
      <c r="ED257" s="42"/>
      <c r="EE257" s="42"/>
      <c r="EF257" s="42"/>
      <c r="EG257" s="42"/>
      <c r="EH257" s="42"/>
      <c r="EI257" s="42"/>
      <c r="EJ257" s="42"/>
      <c r="EK257" s="42"/>
      <c r="EL257" s="42"/>
      <c r="EM257" s="42"/>
      <c r="EN257" s="42"/>
      <c r="EO257" s="42"/>
      <c r="EP257" s="42"/>
      <c r="EQ257" s="42"/>
      <c r="ER257" s="42"/>
      <c r="ES257" s="42"/>
      <c r="ET257" s="42"/>
      <c r="EU257" s="42"/>
      <c r="EV257" s="42"/>
      <c r="EW257" s="42"/>
      <c r="EX257" s="42"/>
      <c r="EY257" s="42"/>
      <c r="EZ257" s="42"/>
      <c r="FA257" s="42"/>
      <c r="FB257" s="42"/>
      <c r="FC257" s="42"/>
      <c r="FD257" s="42"/>
      <c r="FE257" s="42"/>
      <c r="FF257" s="42"/>
      <c r="FG257" s="42"/>
      <c r="FH257" s="42"/>
      <c r="FI257" s="42"/>
      <c r="FJ257" s="42"/>
      <c r="FK257" s="42"/>
      <c r="FL257" s="42"/>
      <c r="FM257" s="42"/>
      <c r="FN257" s="42"/>
      <c r="FO257" s="42"/>
      <c r="FP257" s="42"/>
      <c r="FQ257" s="42"/>
      <c r="FR257" s="42"/>
      <c r="FS257" s="42"/>
      <c r="FT257" s="42"/>
      <c r="FU257" s="42"/>
      <c r="FV257" s="42"/>
      <c r="FW257" s="42"/>
      <c r="FX257" s="42"/>
      <c r="FY257" s="42"/>
      <c r="FZ257" s="42"/>
      <c r="GA257" s="42"/>
      <c r="GB257" s="42"/>
      <c r="GC257" s="42"/>
      <c r="GD257" s="42"/>
      <c r="GE257" s="42"/>
      <c r="GF257" s="42"/>
      <c r="GG257" s="42"/>
      <c r="GH257" s="42"/>
      <c r="GI257" s="42"/>
      <c r="GJ257" s="42"/>
      <c r="GK257" s="42"/>
      <c r="GL257" s="42"/>
      <c r="GM257" s="42"/>
      <c r="GN257" s="42"/>
      <c r="GO257" s="42"/>
      <c r="GP257" s="42"/>
      <c r="GQ257" s="42"/>
      <c r="GR257" s="42"/>
      <c r="GS257" s="42"/>
      <c r="GT257" s="42"/>
      <c r="GU257" s="42"/>
      <c r="GV257" s="42"/>
      <c r="GW257" s="42"/>
      <c r="GX257" s="42"/>
      <c r="GY257" s="42"/>
      <c r="GZ257" s="42"/>
      <c r="HA257" s="42"/>
      <c r="HB257" s="42"/>
      <c r="HC257" s="42"/>
      <c r="HD257" s="42"/>
      <c r="HE257" s="42"/>
      <c r="HF257" s="42"/>
      <c r="HG257" s="42"/>
      <c r="HH257" s="42"/>
      <c r="HI257" s="42"/>
      <c r="HJ257" s="42"/>
      <c r="HK257" s="42"/>
      <c r="HL257" s="42"/>
      <c r="HM257" s="42"/>
      <c r="HN257" s="42"/>
      <c r="HO257" s="42"/>
      <c r="HP257" s="42"/>
      <c r="HQ257" s="42"/>
      <c r="HR257" s="42"/>
      <c r="HS257" s="42"/>
      <c r="HT257" s="42"/>
      <c r="HU257" s="42"/>
      <c r="HV257" s="42"/>
      <c r="HW257" s="42"/>
      <c r="HX257" s="42"/>
      <c r="HY257" s="42"/>
      <c r="HZ257" s="42"/>
      <c r="IA257" s="42"/>
      <c r="IB257" s="42"/>
      <c r="IC257" s="42"/>
      <c r="ID257" s="42"/>
      <c r="IE257" s="42"/>
      <c r="IF257" s="42"/>
      <c r="IG257" s="42"/>
      <c r="IH257" s="42"/>
      <c r="II257" s="42"/>
    </row>
    <row r="258" spans="1:243" s="5" customFormat="1" ht="15" customHeight="1">
      <c r="A258" s="195" t="s">
        <v>246</v>
      </c>
      <c r="B258" s="195" t="s">
        <v>245</v>
      </c>
      <c r="C258" s="195" t="s">
        <v>245</v>
      </c>
      <c r="D258" s="195" t="s">
        <v>245</v>
      </c>
      <c r="E258" s="84">
        <v>75</v>
      </c>
      <c r="F258" s="24">
        <f t="shared" si="41"/>
        <v>0</v>
      </c>
      <c r="G258" s="14">
        <v>130</v>
      </c>
      <c r="H258" s="85"/>
      <c r="I258" s="14">
        <f t="shared" si="50"/>
        <v>0</v>
      </c>
      <c r="J258" s="45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42"/>
      <c r="BG258" s="42"/>
      <c r="BH258" s="42"/>
      <c r="BI258" s="42"/>
      <c r="BJ258" s="42"/>
      <c r="BK258" s="42"/>
      <c r="BL258" s="42"/>
      <c r="BM258" s="42"/>
      <c r="BN258" s="42"/>
      <c r="BO258" s="42"/>
      <c r="BP258" s="42"/>
      <c r="BQ258" s="42"/>
      <c r="BR258" s="42"/>
      <c r="BS258" s="42"/>
      <c r="BT258" s="42"/>
      <c r="BU258" s="42"/>
      <c r="BV258" s="42"/>
      <c r="BW258" s="42"/>
      <c r="BX258" s="42"/>
      <c r="BY258" s="42"/>
      <c r="BZ258" s="42"/>
      <c r="CA258" s="42"/>
      <c r="CB258" s="42"/>
      <c r="CC258" s="42"/>
      <c r="CD258" s="42"/>
      <c r="CE258" s="42"/>
      <c r="CF258" s="42"/>
      <c r="CG258" s="42"/>
      <c r="CH258" s="42"/>
      <c r="CI258" s="42"/>
      <c r="CJ258" s="42"/>
      <c r="CK258" s="42"/>
      <c r="CL258" s="42"/>
      <c r="CM258" s="42"/>
      <c r="CN258" s="42"/>
      <c r="CO258" s="42"/>
      <c r="CP258" s="42"/>
      <c r="CQ258" s="42"/>
      <c r="CR258" s="42"/>
      <c r="CS258" s="42"/>
      <c r="CT258" s="42"/>
      <c r="CU258" s="42"/>
      <c r="CV258" s="42"/>
      <c r="CW258" s="42"/>
      <c r="CX258" s="42"/>
      <c r="CY258" s="42"/>
      <c r="CZ258" s="42"/>
      <c r="DA258" s="42"/>
      <c r="DB258" s="42"/>
      <c r="DC258" s="42"/>
      <c r="DD258" s="42"/>
      <c r="DE258" s="42"/>
      <c r="DF258" s="42"/>
      <c r="DG258" s="42"/>
      <c r="DH258" s="42"/>
      <c r="DI258" s="42"/>
      <c r="DJ258" s="42"/>
      <c r="DK258" s="42"/>
      <c r="DL258" s="42"/>
      <c r="DM258" s="42"/>
      <c r="DN258" s="42"/>
      <c r="DO258" s="42"/>
      <c r="DP258" s="42"/>
      <c r="DQ258" s="42"/>
      <c r="DR258" s="42"/>
      <c r="DS258" s="42"/>
      <c r="DT258" s="42"/>
      <c r="DU258" s="42"/>
      <c r="DV258" s="42"/>
      <c r="DW258" s="42"/>
      <c r="DX258" s="42"/>
      <c r="DY258" s="42"/>
      <c r="DZ258" s="42"/>
      <c r="EA258" s="42"/>
      <c r="EB258" s="42"/>
      <c r="EC258" s="42"/>
      <c r="ED258" s="42"/>
      <c r="EE258" s="42"/>
      <c r="EF258" s="42"/>
      <c r="EG258" s="42"/>
      <c r="EH258" s="42"/>
      <c r="EI258" s="42"/>
      <c r="EJ258" s="42"/>
      <c r="EK258" s="42"/>
      <c r="EL258" s="42"/>
      <c r="EM258" s="42"/>
      <c r="EN258" s="42"/>
      <c r="EO258" s="42"/>
      <c r="EP258" s="42"/>
      <c r="EQ258" s="42"/>
      <c r="ER258" s="42"/>
      <c r="ES258" s="42"/>
      <c r="ET258" s="42"/>
      <c r="EU258" s="42"/>
      <c r="EV258" s="42"/>
      <c r="EW258" s="42"/>
      <c r="EX258" s="42"/>
      <c r="EY258" s="42"/>
      <c r="EZ258" s="42"/>
      <c r="FA258" s="42"/>
      <c r="FB258" s="42"/>
      <c r="FC258" s="42"/>
      <c r="FD258" s="42"/>
      <c r="FE258" s="42"/>
      <c r="FF258" s="42"/>
      <c r="FG258" s="42"/>
      <c r="FH258" s="42"/>
      <c r="FI258" s="42"/>
      <c r="FJ258" s="42"/>
      <c r="FK258" s="42"/>
      <c r="FL258" s="42"/>
      <c r="FM258" s="42"/>
      <c r="FN258" s="42"/>
      <c r="FO258" s="42"/>
      <c r="FP258" s="42"/>
      <c r="FQ258" s="42"/>
      <c r="FR258" s="42"/>
      <c r="FS258" s="42"/>
      <c r="FT258" s="42"/>
      <c r="FU258" s="42"/>
      <c r="FV258" s="42"/>
      <c r="FW258" s="42"/>
      <c r="FX258" s="42"/>
      <c r="FY258" s="42"/>
      <c r="FZ258" s="42"/>
      <c r="GA258" s="42"/>
      <c r="GB258" s="42"/>
      <c r="GC258" s="42"/>
      <c r="GD258" s="42"/>
      <c r="GE258" s="42"/>
      <c r="GF258" s="42"/>
      <c r="GG258" s="42"/>
      <c r="GH258" s="42"/>
      <c r="GI258" s="42"/>
      <c r="GJ258" s="42"/>
      <c r="GK258" s="42"/>
      <c r="GL258" s="42"/>
      <c r="GM258" s="42"/>
      <c r="GN258" s="42"/>
      <c r="GO258" s="42"/>
      <c r="GP258" s="42"/>
      <c r="GQ258" s="42"/>
      <c r="GR258" s="42"/>
      <c r="GS258" s="42"/>
      <c r="GT258" s="42"/>
      <c r="GU258" s="42"/>
      <c r="GV258" s="42"/>
      <c r="GW258" s="42"/>
      <c r="GX258" s="42"/>
      <c r="GY258" s="42"/>
      <c r="GZ258" s="42"/>
      <c r="HA258" s="42"/>
      <c r="HB258" s="42"/>
      <c r="HC258" s="42"/>
      <c r="HD258" s="42"/>
      <c r="HE258" s="42"/>
      <c r="HF258" s="42"/>
      <c r="HG258" s="42"/>
      <c r="HH258" s="42"/>
      <c r="HI258" s="42"/>
      <c r="HJ258" s="42"/>
      <c r="HK258" s="42"/>
      <c r="HL258" s="42"/>
      <c r="HM258" s="42"/>
      <c r="HN258" s="42"/>
      <c r="HO258" s="42"/>
      <c r="HP258" s="42"/>
      <c r="HQ258" s="42"/>
      <c r="HR258" s="42"/>
      <c r="HS258" s="42"/>
      <c r="HT258" s="42"/>
      <c r="HU258" s="42"/>
      <c r="HV258" s="42"/>
      <c r="HW258" s="42"/>
      <c r="HX258" s="42"/>
      <c r="HY258" s="42"/>
      <c r="HZ258" s="42"/>
      <c r="IA258" s="42"/>
      <c r="IB258" s="42"/>
      <c r="IC258" s="42"/>
      <c r="ID258" s="42"/>
      <c r="IE258" s="42"/>
      <c r="IF258" s="42"/>
      <c r="IG258" s="42"/>
      <c r="IH258" s="42"/>
      <c r="II258" s="42"/>
    </row>
    <row r="259" spans="1:243" s="5" customFormat="1" ht="15" customHeight="1">
      <c r="A259" s="195" t="s">
        <v>247</v>
      </c>
      <c r="B259" s="195" t="s">
        <v>245</v>
      </c>
      <c r="C259" s="195" t="s">
        <v>245</v>
      </c>
      <c r="D259" s="195" t="s">
        <v>245</v>
      </c>
      <c r="E259" s="84">
        <v>75</v>
      </c>
      <c r="F259" s="24">
        <f t="shared" si="41"/>
        <v>0</v>
      </c>
      <c r="G259" s="14">
        <v>150</v>
      </c>
      <c r="H259" s="85"/>
      <c r="I259" s="14">
        <f t="shared" si="50"/>
        <v>0</v>
      </c>
      <c r="J259" s="45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42"/>
      <c r="BG259" s="42"/>
      <c r="BH259" s="42"/>
      <c r="BI259" s="42"/>
      <c r="BJ259" s="42"/>
      <c r="BK259" s="42"/>
      <c r="BL259" s="42"/>
      <c r="BM259" s="42"/>
      <c r="BN259" s="42"/>
      <c r="BO259" s="42"/>
      <c r="BP259" s="42"/>
      <c r="BQ259" s="42"/>
      <c r="BR259" s="42"/>
      <c r="BS259" s="42"/>
      <c r="BT259" s="42"/>
      <c r="BU259" s="42"/>
      <c r="BV259" s="42"/>
      <c r="BW259" s="42"/>
      <c r="BX259" s="42"/>
      <c r="BY259" s="42"/>
      <c r="BZ259" s="42"/>
      <c r="CA259" s="42"/>
      <c r="CB259" s="42"/>
      <c r="CC259" s="42"/>
      <c r="CD259" s="42"/>
      <c r="CE259" s="42"/>
      <c r="CF259" s="42"/>
      <c r="CG259" s="42"/>
      <c r="CH259" s="42"/>
      <c r="CI259" s="42"/>
      <c r="CJ259" s="42"/>
      <c r="CK259" s="42"/>
      <c r="CL259" s="42"/>
      <c r="CM259" s="42"/>
      <c r="CN259" s="42"/>
      <c r="CO259" s="42"/>
      <c r="CP259" s="42"/>
      <c r="CQ259" s="42"/>
      <c r="CR259" s="42"/>
      <c r="CS259" s="42"/>
      <c r="CT259" s="42"/>
      <c r="CU259" s="42"/>
      <c r="CV259" s="42"/>
      <c r="CW259" s="42"/>
      <c r="CX259" s="42"/>
      <c r="CY259" s="42"/>
      <c r="CZ259" s="42"/>
      <c r="DA259" s="42"/>
      <c r="DB259" s="42"/>
      <c r="DC259" s="42"/>
      <c r="DD259" s="42"/>
      <c r="DE259" s="42"/>
      <c r="DF259" s="42"/>
      <c r="DG259" s="42"/>
      <c r="DH259" s="42"/>
      <c r="DI259" s="42"/>
      <c r="DJ259" s="42"/>
      <c r="DK259" s="42"/>
      <c r="DL259" s="42"/>
      <c r="DM259" s="42"/>
      <c r="DN259" s="42"/>
      <c r="DO259" s="42"/>
      <c r="DP259" s="42"/>
      <c r="DQ259" s="42"/>
      <c r="DR259" s="42"/>
      <c r="DS259" s="42"/>
      <c r="DT259" s="42"/>
      <c r="DU259" s="42"/>
      <c r="DV259" s="42"/>
      <c r="DW259" s="42"/>
      <c r="DX259" s="42"/>
      <c r="DY259" s="42"/>
      <c r="DZ259" s="42"/>
      <c r="EA259" s="42"/>
      <c r="EB259" s="42"/>
      <c r="EC259" s="42"/>
      <c r="ED259" s="42"/>
      <c r="EE259" s="42"/>
      <c r="EF259" s="42"/>
      <c r="EG259" s="42"/>
      <c r="EH259" s="42"/>
      <c r="EI259" s="42"/>
      <c r="EJ259" s="42"/>
      <c r="EK259" s="42"/>
      <c r="EL259" s="42"/>
      <c r="EM259" s="42"/>
      <c r="EN259" s="42"/>
      <c r="EO259" s="42"/>
      <c r="EP259" s="42"/>
      <c r="EQ259" s="42"/>
      <c r="ER259" s="42"/>
      <c r="ES259" s="42"/>
      <c r="ET259" s="42"/>
      <c r="EU259" s="42"/>
      <c r="EV259" s="42"/>
      <c r="EW259" s="42"/>
      <c r="EX259" s="42"/>
      <c r="EY259" s="42"/>
      <c r="EZ259" s="42"/>
      <c r="FA259" s="42"/>
      <c r="FB259" s="42"/>
      <c r="FC259" s="42"/>
      <c r="FD259" s="42"/>
      <c r="FE259" s="42"/>
      <c r="FF259" s="42"/>
      <c r="FG259" s="42"/>
      <c r="FH259" s="42"/>
      <c r="FI259" s="42"/>
      <c r="FJ259" s="42"/>
      <c r="FK259" s="42"/>
      <c r="FL259" s="42"/>
      <c r="FM259" s="42"/>
      <c r="FN259" s="42"/>
      <c r="FO259" s="42"/>
      <c r="FP259" s="42"/>
      <c r="FQ259" s="42"/>
      <c r="FR259" s="42"/>
      <c r="FS259" s="42"/>
      <c r="FT259" s="42"/>
      <c r="FU259" s="42"/>
      <c r="FV259" s="42"/>
      <c r="FW259" s="42"/>
      <c r="FX259" s="42"/>
      <c r="FY259" s="42"/>
      <c r="FZ259" s="42"/>
      <c r="GA259" s="42"/>
      <c r="GB259" s="42"/>
      <c r="GC259" s="42"/>
      <c r="GD259" s="42"/>
      <c r="GE259" s="42"/>
      <c r="GF259" s="42"/>
      <c r="GG259" s="42"/>
      <c r="GH259" s="42"/>
      <c r="GI259" s="42"/>
      <c r="GJ259" s="42"/>
      <c r="GK259" s="42"/>
      <c r="GL259" s="42"/>
      <c r="GM259" s="42"/>
      <c r="GN259" s="42"/>
      <c r="GO259" s="42"/>
      <c r="GP259" s="42"/>
      <c r="GQ259" s="42"/>
      <c r="GR259" s="42"/>
      <c r="GS259" s="42"/>
      <c r="GT259" s="42"/>
      <c r="GU259" s="42"/>
      <c r="GV259" s="42"/>
      <c r="GW259" s="42"/>
      <c r="GX259" s="42"/>
      <c r="GY259" s="42"/>
      <c r="GZ259" s="42"/>
      <c r="HA259" s="42"/>
      <c r="HB259" s="42"/>
      <c r="HC259" s="42"/>
      <c r="HD259" s="42"/>
      <c r="HE259" s="42"/>
      <c r="HF259" s="42"/>
      <c r="HG259" s="42"/>
      <c r="HH259" s="42"/>
      <c r="HI259" s="42"/>
      <c r="HJ259" s="42"/>
      <c r="HK259" s="42"/>
      <c r="HL259" s="42"/>
      <c r="HM259" s="42"/>
      <c r="HN259" s="42"/>
      <c r="HO259" s="42"/>
      <c r="HP259" s="42"/>
      <c r="HQ259" s="42"/>
      <c r="HR259" s="42"/>
      <c r="HS259" s="42"/>
      <c r="HT259" s="42"/>
      <c r="HU259" s="42"/>
      <c r="HV259" s="42"/>
      <c r="HW259" s="42"/>
      <c r="HX259" s="42"/>
      <c r="HY259" s="42"/>
      <c r="HZ259" s="42"/>
      <c r="IA259" s="42"/>
      <c r="IB259" s="42"/>
      <c r="IC259" s="42"/>
      <c r="ID259" s="42"/>
      <c r="IE259" s="42"/>
      <c r="IF259" s="42"/>
      <c r="IG259" s="42"/>
      <c r="IH259" s="42"/>
      <c r="II259" s="42"/>
    </row>
    <row r="260" spans="1:243" ht="15" customHeight="1">
      <c r="A260" s="192" t="s">
        <v>248</v>
      </c>
      <c r="B260" s="193"/>
      <c r="C260" s="193"/>
      <c r="D260" s="194"/>
      <c r="E260" s="84">
        <v>75</v>
      </c>
      <c r="F260" s="24">
        <f t="shared" si="41"/>
        <v>0</v>
      </c>
      <c r="G260" s="14">
        <v>130</v>
      </c>
      <c r="H260" s="85"/>
      <c r="I260" s="14">
        <f t="shared" si="50"/>
        <v>0</v>
      </c>
      <c r="J260" s="45"/>
      <c r="K260" s="42"/>
    </row>
    <row r="261" spans="1:243" ht="15" customHeight="1">
      <c r="A261" s="195" t="s">
        <v>249</v>
      </c>
      <c r="B261" s="195" t="s">
        <v>245</v>
      </c>
      <c r="C261" s="195" t="s">
        <v>245</v>
      </c>
      <c r="D261" s="195" t="s">
        <v>245</v>
      </c>
      <c r="E261" s="84">
        <v>75</v>
      </c>
      <c r="F261" s="24">
        <f t="shared" si="41"/>
        <v>0</v>
      </c>
      <c r="G261" s="14">
        <v>130</v>
      </c>
      <c r="H261" s="85"/>
      <c r="I261" s="14">
        <f t="shared" si="50"/>
        <v>0</v>
      </c>
      <c r="J261" s="45"/>
      <c r="K261" s="42"/>
      <c r="M261" s="177"/>
      <c r="N261" s="177"/>
      <c r="O261" s="177"/>
      <c r="P261" s="177"/>
      <c r="V261" s="77"/>
      <c r="W261" s="78"/>
    </row>
    <row r="262" spans="1:243" ht="15" customHeight="1">
      <c r="A262" s="195" t="s">
        <v>250</v>
      </c>
      <c r="B262" s="195" t="s">
        <v>245</v>
      </c>
      <c r="C262" s="195" t="s">
        <v>245</v>
      </c>
      <c r="D262" s="195" t="s">
        <v>245</v>
      </c>
      <c r="E262" s="84">
        <v>75</v>
      </c>
      <c r="F262" s="24">
        <f t="shared" si="41"/>
        <v>0</v>
      </c>
      <c r="G262" s="14">
        <v>170</v>
      </c>
      <c r="H262" s="85"/>
      <c r="I262" s="14">
        <f t="shared" si="50"/>
        <v>0</v>
      </c>
      <c r="J262" s="45"/>
      <c r="K262" s="42"/>
      <c r="M262" s="86"/>
      <c r="N262" s="86"/>
      <c r="O262" s="86"/>
      <c r="P262" s="86"/>
      <c r="Q262" s="87"/>
      <c r="R262" s="80"/>
      <c r="S262" s="81"/>
      <c r="T262" s="82"/>
      <c r="U262" s="83"/>
      <c r="V262" s="77"/>
      <c r="W262" s="78"/>
    </row>
    <row r="263" spans="1:243" ht="15" customHeight="1">
      <c r="A263" s="196" t="s">
        <v>251</v>
      </c>
      <c r="B263" s="196" t="s">
        <v>245</v>
      </c>
      <c r="C263" s="196" t="s">
        <v>245</v>
      </c>
      <c r="D263" s="196" t="s">
        <v>245</v>
      </c>
      <c r="E263" s="26">
        <v>75</v>
      </c>
      <c r="F263" s="24">
        <f t="shared" si="41"/>
        <v>0</v>
      </c>
      <c r="G263" s="24">
        <v>430</v>
      </c>
      <c r="H263" s="26"/>
      <c r="I263" s="24">
        <f t="shared" ref="I263" si="51">H263*G263</f>
        <v>0</v>
      </c>
      <c r="J263" s="24"/>
      <c r="K263" s="42"/>
      <c r="M263" s="78"/>
      <c r="N263" s="78"/>
      <c r="O263" s="78"/>
      <c r="P263" s="78"/>
      <c r="Q263" s="87"/>
      <c r="R263" s="80"/>
      <c r="S263" s="81"/>
      <c r="T263" s="82"/>
      <c r="U263" s="83"/>
      <c r="V263" s="78"/>
      <c r="W263" s="78"/>
    </row>
    <row r="264" spans="1:243" ht="15" customHeight="1">
      <c r="A264" s="156" t="s">
        <v>252</v>
      </c>
      <c r="B264" s="157"/>
      <c r="C264" s="157"/>
      <c r="D264" s="157"/>
      <c r="E264" s="157"/>
      <c r="F264" s="157"/>
      <c r="G264" s="157"/>
      <c r="H264" s="157"/>
      <c r="I264" s="157"/>
      <c r="J264" s="158"/>
      <c r="K264" s="42"/>
      <c r="Q264" s="78"/>
      <c r="R264" s="78"/>
      <c r="S264" s="78"/>
      <c r="T264" s="78"/>
      <c r="U264" s="78"/>
    </row>
    <row r="265" spans="1:243" ht="15" customHeight="1">
      <c r="A265" s="181" t="s">
        <v>253</v>
      </c>
      <c r="B265" s="181"/>
      <c r="C265" s="181"/>
      <c r="D265" s="181"/>
      <c r="E265" s="56">
        <v>25</v>
      </c>
      <c r="F265" s="24">
        <f t="shared" si="41"/>
        <v>0</v>
      </c>
      <c r="G265" s="14">
        <v>155</v>
      </c>
      <c r="H265" s="56"/>
      <c r="I265" s="14">
        <f>H265*G265</f>
        <v>0</v>
      </c>
      <c r="J265" s="45"/>
      <c r="K265" s="42"/>
    </row>
    <row r="266" spans="1:243" ht="15" customHeight="1">
      <c r="A266" s="181" t="s">
        <v>254</v>
      </c>
      <c r="B266" s="188"/>
      <c r="C266" s="188"/>
      <c r="D266" s="188"/>
      <c r="E266" s="56">
        <v>22</v>
      </c>
      <c r="F266" s="24">
        <f t="shared" si="41"/>
        <v>0</v>
      </c>
      <c r="G266" s="14">
        <v>80</v>
      </c>
      <c r="H266" s="25"/>
      <c r="I266" s="14">
        <f>H266*G266</f>
        <v>0</v>
      </c>
      <c r="J266" s="45"/>
      <c r="K266" s="42"/>
    </row>
    <row r="267" spans="1:243" ht="15" customHeight="1">
      <c r="A267" s="195" t="s">
        <v>255</v>
      </c>
      <c r="B267" s="195" t="s">
        <v>245</v>
      </c>
      <c r="C267" s="195" t="s">
        <v>245</v>
      </c>
      <c r="D267" s="195" t="s">
        <v>245</v>
      </c>
      <c r="E267" s="84">
        <v>30</v>
      </c>
      <c r="F267" s="24">
        <f t="shared" si="41"/>
        <v>0</v>
      </c>
      <c r="G267" s="14">
        <v>190</v>
      </c>
      <c r="H267" s="85"/>
      <c r="I267" s="14">
        <f>H267*G267</f>
        <v>0</v>
      </c>
      <c r="J267" s="45"/>
      <c r="K267" s="42"/>
    </row>
    <row r="268" spans="1:243" ht="15" customHeight="1">
      <c r="A268" s="195" t="s">
        <v>256</v>
      </c>
      <c r="B268" s="195" t="s">
        <v>245</v>
      </c>
      <c r="C268" s="195" t="s">
        <v>245</v>
      </c>
      <c r="D268" s="195" t="s">
        <v>245</v>
      </c>
      <c r="E268" s="84">
        <v>25</v>
      </c>
      <c r="F268" s="24">
        <f t="shared" si="41"/>
        <v>0</v>
      </c>
      <c r="G268" s="14">
        <v>155</v>
      </c>
      <c r="H268" s="85"/>
      <c r="I268" s="14">
        <f>H268*G268</f>
        <v>0</v>
      </c>
      <c r="J268" s="45"/>
      <c r="K268" s="42"/>
    </row>
    <row r="269" spans="1:243" ht="15" customHeight="1">
      <c r="A269" s="156" t="s">
        <v>257</v>
      </c>
      <c r="B269" s="157"/>
      <c r="C269" s="157"/>
      <c r="D269" s="157"/>
      <c r="E269" s="157"/>
      <c r="F269" s="157"/>
      <c r="G269" s="157"/>
      <c r="H269" s="157"/>
      <c r="I269" s="157"/>
      <c r="J269" s="158"/>
      <c r="K269" s="42"/>
    </row>
    <row r="270" spans="1:243" ht="15" customHeight="1">
      <c r="A270" s="192" t="s">
        <v>258</v>
      </c>
      <c r="B270" s="193"/>
      <c r="C270" s="193"/>
      <c r="D270" s="194"/>
      <c r="E270" s="84">
        <v>20</v>
      </c>
      <c r="F270" s="24">
        <f t="shared" si="41"/>
        <v>0</v>
      </c>
      <c r="G270" s="14">
        <v>70</v>
      </c>
      <c r="H270" s="85"/>
      <c r="I270" s="14">
        <f t="shared" ref="I270:I275" si="52">H270*G270</f>
        <v>0</v>
      </c>
      <c r="J270" s="45"/>
      <c r="K270" s="42"/>
    </row>
    <row r="271" spans="1:243" ht="15" customHeight="1">
      <c r="A271" s="192" t="s">
        <v>259</v>
      </c>
      <c r="B271" s="193"/>
      <c r="C271" s="193"/>
      <c r="D271" s="194"/>
      <c r="E271" s="84">
        <v>28</v>
      </c>
      <c r="F271" s="24">
        <f t="shared" si="41"/>
        <v>0</v>
      </c>
      <c r="G271" s="14">
        <v>90</v>
      </c>
      <c r="H271" s="85"/>
      <c r="I271" s="14">
        <f t="shared" si="52"/>
        <v>0</v>
      </c>
      <c r="J271" s="45"/>
      <c r="K271" s="42"/>
    </row>
    <row r="272" spans="1:243" ht="15" customHeight="1">
      <c r="A272" s="192" t="s">
        <v>260</v>
      </c>
      <c r="B272" s="193"/>
      <c r="C272" s="193"/>
      <c r="D272" s="194"/>
      <c r="E272" s="84">
        <v>28</v>
      </c>
      <c r="F272" s="24">
        <f t="shared" ref="F272:F275" si="53">E272*H272/$D$10</f>
        <v>0</v>
      </c>
      <c r="G272" s="14">
        <v>70</v>
      </c>
      <c r="H272" s="85"/>
      <c r="I272" s="14">
        <f t="shared" si="52"/>
        <v>0</v>
      </c>
      <c r="J272" s="45"/>
      <c r="K272" s="42"/>
    </row>
    <row r="273" spans="1:11" ht="15" customHeight="1">
      <c r="A273" s="192" t="s">
        <v>261</v>
      </c>
      <c r="B273" s="193"/>
      <c r="C273" s="193"/>
      <c r="D273" s="194"/>
      <c r="E273" s="84">
        <v>20</v>
      </c>
      <c r="F273" s="24">
        <f t="shared" ref="F273:F274" si="54">E273*H273/$D$10</f>
        <v>0</v>
      </c>
      <c r="G273" s="14">
        <v>60</v>
      </c>
      <c r="H273" s="85"/>
      <c r="I273" s="14">
        <f t="shared" si="52"/>
        <v>0</v>
      </c>
      <c r="J273" s="45"/>
      <c r="K273" s="42"/>
    </row>
    <row r="274" spans="1:11" ht="15" customHeight="1">
      <c r="A274" s="192" t="s">
        <v>262</v>
      </c>
      <c r="B274" s="193"/>
      <c r="C274" s="193"/>
      <c r="D274" s="194"/>
      <c r="E274" s="84">
        <v>25</v>
      </c>
      <c r="F274" s="24">
        <f t="shared" si="54"/>
        <v>0</v>
      </c>
      <c r="G274" s="14">
        <v>130</v>
      </c>
      <c r="H274" s="85"/>
      <c r="I274" s="14">
        <f t="shared" si="52"/>
        <v>0</v>
      </c>
      <c r="J274" s="45"/>
      <c r="K274" s="42"/>
    </row>
    <row r="275" spans="1:11" ht="15" customHeight="1">
      <c r="A275" s="165" t="s">
        <v>263</v>
      </c>
      <c r="B275" s="166"/>
      <c r="C275" s="166"/>
      <c r="D275" s="167"/>
      <c r="E275" s="56">
        <v>25</v>
      </c>
      <c r="F275" s="24">
        <f t="shared" si="53"/>
        <v>0</v>
      </c>
      <c r="G275" s="14">
        <v>200</v>
      </c>
      <c r="H275" s="56"/>
      <c r="I275" s="14">
        <f t="shared" si="52"/>
        <v>0</v>
      </c>
      <c r="J275" s="45"/>
      <c r="K275" s="42"/>
    </row>
    <row r="276" spans="1:11" ht="15" customHeight="1">
      <c r="A276" s="104" t="s">
        <v>264</v>
      </c>
      <c r="B276" s="105"/>
      <c r="C276" s="105"/>
      <c r="D276" s="105"/>
      <c r="E276" s="105"/>
      <c r="F276" s="105"/>
      <c r="G276" s="105"/>
      <c r="H276" s="105"/>
      <c r="I276" s="105"/>
      <c r="J276" s="105"/>
      <c r="K276" s="42"/>
    </row>
    <row r="277" spans="1:11" ht="25" customHeight="1">
      <c r="A277" s="112" t="s">
        <v>18</v>
      </c>
      <c r="B277" s="113"/>
      <c r="C277" s="113"/>
      <c r="D277" s="113"/>
      <c r="E277" s="12" t="s">
        <v>19</v>
      </c>
      <c r="F277" s="12" t="s">
        <v>20</v>
      </c>
      <c r="G277" s="12" t="s">
        <v>21</v>
      </c>
      <c r="H277" s="12" t="s">
        <v>22</v>
      </c>
      <c r="I277" s="12" t="s">
        <v>23</v>
      </c>
      <c r="J277" s="12"/>
      <c r="K277" s="42"/>
    </row>
    <row r="278" spans="1:11" ht="25" customHeight="1">
      <c r="A278" s="124" t="s">
        <v>265</v>
      </c>
      <c r="B278" s="125"/>
      <c r="C278" s="125"/>
      <c r="D278" s="125"/>
      <c r="E278" s="25">
        <v>35</v>
      </c>
      <c r="F278" s="24">
        <f t="shared" ref="F278:F305" si="55">E278*H278/$D$10</f>
        <v>0</v>
      </c>
      <c r="G278" s="14">
        <v>120</v>
      </c>
      <c r="H278" s="25"/>
      <c r="I278" s="14">
        <f t="shared" ref="I278:I302" si="56">H278*G278</f>
        <v>0</v>
      </c>
      <c r="J278" s="45"/>
      <c r="K278" s="42"/>
    </row>
    <row r="279" spans="1:11" ht="15" customHeight="1">
      <c r="A279" s="151" t="s">
        <v>266</v>
      </c>
      <c r="B279" s="152"/>
      <c r="C279" s="152"/>
      <c r="D279" s="153"/>
      <c r="E279" s="25">
        <v>30</v>
      </c>
      <c r="F279" s="24">
        <f t="shared" si="55"/>
        <v>0</v>
      </c>
      <c r="G279" s="14">
        <v>80</v>
      </c>
      <c r="H279" s="25"/>
      <c r="I279" s="14">
        <f t="shared" si="56"/>
        <v>0</v>
      </c>
      <c r="J279" s="45"/>
      <c r="K279" s="42"/>
    </row>
    <row r="280" spans="1:11" ht="15" customHeight="1">
      <c r="A280" s="124" t="s">
        <v>267</v>
      </c>
      <c r="B280" s="125"/>
      <c r="C280" s="125"/>
      <c r="D280" s="125"/>
      <c r="E280" s="25">
        <v>10</v>
      </c>
      <c r="F280" s="24">
        <f t="shared" si="55"/>
        <v>0</v>
      </c>
      <c r="G280" s="14">
        <v>35</v>
      </c>
      <c r="H280" s="25"/>
      <c r="I280" s="14">
        <f t="shared" si="56"/>
        <v>0</v>
      </c>
      <c r="J280" s="45"/>
      <c r="K280" s="42"/>
    </row>
    <row r="281" spans="1:11" ht="15" customHeight="1">
      <c r="A281" s="151" t="s">
        <v>268</v>
      </c>
      <c r="B281" s="152"/>
      <c r="C281" s="152"/>
      <c r="D281" s="153"/>
      <c r="E281" s="25">
        <v>70</v>
      </c>
      <c r="F281" s="24">
        <f t="shared" si="55"/>
        <v>0</v>
      </c>
      <c r="G281" s="14">
        <v>230</v>
      </c>
      <c r="H281" s="23"/>
      <c r="I281" s="14">
        <f t="shared" si="56"/>
        <v>0</v>
      </c>
      <c r="J281" s="45"/>
      <c r="K281" s="42"/>
    </row>
    <row r="282" spans="1:11" ht="15" customHeight="1">
      <c r="A282" s="49" t="s">
        <v>269</v>
      </c>
      <c r="B282" s="50"/>
      <c r="C282" s="50"/>
      <c r="D282" s="51"/>
      <c r="E282" s="25">
        <v>30</v>
      </c>
      <c r="F282" s="24">
        <f t="shared" si="55"/>
        <v>0</v>
      </c>
      <c r="G282" s="14">
        <v>30</v>
      </c>
      <c r="H282" s="23"/>
      <c r="I282" s="14">
        <f t="shared" si="56"/>
        <v>0</v>
      </c>
      <c r="J282" s="45"/>
      <c r="K282" s="42"/>
    </row>
    <row r="283" spans="1:11" ht="15" customHeight="1">
      <c r="A283" s="148" t="s">
        <v>270</v>
      </c>
      <c r="B283" s="149"/>
      <c r="C283" s="149"/>
      <c r="D283" s="150"/>
      <c r="E283" s="25">
        <v>30</v>
      </c>
      <c r="F283" s="24">
        <f t="shared" si="55"/>
        <v>0</v>
      </c>
      <c r="G283" s="14">
        <v>110</v>
      </c>
      <c r="H283" s="23"/>
      <c r="I283" s="14">
        <f t="shared" si="56"/>
        <v>0</v>
      </c>
      <c r="J283" s="45"/>
      <c r="K283" s="42"/>
    </row>
    <row r="284" spans="1:11" ht="15" customHeight="1">
      <c r="A284" s="148" t="s">
        <v>271</v>
      </c>
      <c r="B284" s="149"/>
      <c r="C284" s="149"/>
      <c r="D284" s="150"/>
      <c r="E284" s="25">
        <v>30</v>
      </c>
      <c r="F284" s="24">
        <f t="shared" si="55"/>
        <v>0</v>
      </c>
      <c r="G284" s="14">
        <v>50</v>
      </c>
      <c r="H284" s="23"/>
      <c r="I284" s="14">
        <f t="shared" si="56"/>
        <v>0</v>
      </c>
      <c r="J284" s="45"/>
      <c r="K284" s="42"/>
    </row>
    <row r="285" spans="1:11" ht="15" customHeight="1">
      <c r="A285" s="148" t="s">
        <v>272</v>
      </c>
      <c r="B285" s="149"/>
      <c r="C285" s="149"/>
      <c r="D285" s="150"/>
      <c r="E285" s="25">
        <v>50</v>
      </c>
      <c r="F285" s="24">
        <f t="shared" si="55"/>
        <v>0</v>
      </c>
      <c r="G285" s="14">
        <v>50</v>
      </c>
      <c r="H285" s="23"/>
      <c r="I285" s="14">
        <f t="shared" si="56"/>
        <v>0</v>
      </c>
      <c r="J285" s="45"/>
      <c r="K285" s="42"/>
    </row>
    <row r="286" spans="1:11" ht="15" customHeight="1">
      <c r="A286" s="148" t="s">
        <v>273</v>
      </c>
      <c r="B286" s="149"/>
      <c r="C286" s="149"/>
      <c r="D286" s="150"/>
      <c r="E286" s="25">
        <v>80</v>
      </c>
      <c r="F286" s="24">
        <f t="shared" si="55"/>
        <v>0</v>
      </c>
      <c r="G286" s="14">
        <v>60</v>
      </c>
      <c r="H286" s="23"/>
      <c r="I286" s="14">
        <f t="shared" si="56"/>
        <v>0</v>
      </c>
      <c r="J286" s="45"/>
      <c r="K286" s="42"/>
    </row>
    <row r="287" spans="1:11" ht="15" customHeight="1">
      <c r="A287" s="148" t="s">
        <v>274</v>
      </c>
      <c r="B287" s="149"/>
      <c r="C287" s="149"/>
      <c r="D287" s="150"/>
      <c r="E287" s="25">
        <v>80</v>
      </c>
      <c r="F287" s="24">
        <f t="shared" si="55"/>
        <v>0</v>
      </c>
      <c r="G287" s="14">
        <v>60</v>
      </c>
      <c r="H287" s="23"/>
      <c r="I287" s="14">
        <f t="shared" si="56"/>
        <v>0</v>
      </c>
      <c r="J287" s="45"/>
      <c r="K287" s="42"/>
    </row>
    <row r="288" spans="1:11" ht="15" customHeight="1">
      <c r="A288" s="197" t="s">
        <v>275</v>
      </c>
      <c r="B288" s="197" t="s">
        <v>276</v>
      </c>
      <c r="C288" s="197" t="s">
        <v>276</v>
      </c>
      <c r="D288" s="197" t="s">
        <v>276</v>
      </c>
      <c r="E288" s="55">
        <v>50</v>
      </c>
      <c r="F288" s="24">
        <f t="shared" si="55"/>
        <v>0</v>
      </c>
      <c r="G288" s="14">
        <v>60</v>
      </c>
      <c r="H288" s="23"/>
      <c r="I288" s="14">
        <f t="shared" si="56"/>
        <v>0</v>
      </c>
      <c r="J288" s="45"/>
      <c r="K288" s="42"/>
    </row>
    <row r="289" spans="1:11" ht="15" customHeight="1">
      <c r="A289" s="197" t="s">
        <v>277</v>
      </c>
      <c r="B289" s="197" t="s">
        <v>276</v>
      </c>
      <c r="C289" s="197" t="s">
        <v>276</v>
      </c>
      <c r="D289" s="197" t="s">
        <v>276</v>
      </c>
      <c r="E289" s="55">
        <v>50</v>
      </c>
      <c r="F289" s="24">
        <f t="shared" si="55"/>
        <v>0</v>
      </c>
      <c r="G289" s="14">
        <v>65</v>
      </c>
      <c r="H289" s="23"/>
      <c r="I289" s="14">
        <f t="shared" si="56"/>
        <v>0</v>
      </c>
      <c r="J289" s="45"/>
      <c r="K289" s="42"/>
    </row>
    <row r="290" spans="1:11" ht="15" customHeight="1">
      <c r="A290" s="197" t="s">
        <v>278</v>
      </c>
      <c r="B290" s="197" t="s">
        <v>276</v>
      </c>
      <c r="C290" s="197" t="s">
        <v>276</v>
      </c>
      <c r="D290" s="197" t="s">
        <v>276</v>
      </c>
      <c r="E290" s="55">
        <v>55</v>
      </c>
      <c r="F290" s="24">
        <f t="shared" si="55"/>
        <v>0</v>
      </c>
      <c r="G290" s="14">
        <v>90</v>
      </c>
      <c r="H290" s="23"/>
      <c r="I290" s="14">
        <f t="shared" ref="I290" si="57">H290*G290</f>
        <v>0</v>
      </c>
      <c r="J290" s="45"/>
      <c r="K290" s="42"/>
    </row>
    <row r="291" spans="1:11" ht="15" customHeight="1">
      <c r="A291" s="197" t="s">
        <v>279</v>
      </c>
      <c r="B291" s="197" t="s">
        <v>276</v>
      </c>
      <c r="C291" s="197" t="s">
        <v>276</v>
      </c>
      <c r="D291" s="197" t="s">
        <v>276</v>
      </c>
      <c r="E291" s="55">
        <v>60</v>
      </c>
      <c r="F291" s="24">
        <f t="shared" si="55"/>
        <v>0</v>
      </c>
      <c r="G291" s="14">
        <v>90</v>
      </c>
      <c r="H291" s="23"/>
      <c r="I291" s="14">
        <f t="shared" ref="I291" si="58">H291*G291</f>
        <v>0</v>
      </c>
      <c r="J291" s="45"/>
      <c r="K291" s="42"/>
    </row>
    <row r="292" spans="1:11" ht="15" customHeight="1">
      <c r="A292" s="197" t="s">
        <v>280</v>
      </c>
      <c r="B292" s="197" t="s">
        <v>276</v>
      </c>
      <c r="C292" s="197" t="s">
        <v>276</v>
      </c>
      <c r="D292" s="197" t="s">
        <v>276</v>
      </c>
      <c r="E292" s="55">
        <v>50</v>
      </c>
      <c r="F292" s="24">
        <f t="shared" si="55"/>
        <v>0</v>
      </c>
      <c r="G292" s="14">
        <v>80</v>
      </c>
      <c r="H292" s="23"/>
      <c r="I292" s="14">
        <f t="shared" si="56"/>
        <v>0</v>
      </c>
      <c r="J292" s="45"/>
      <c r="K292" s="42"/>
    </row>
    <row r="293" spans="1:11" ht="15" customHeight="1">
      <c r="A293" s="197" t="s">
        <v>281</v>
      </c>
      <c r="B293" s="197" t="s">
        <v>276</v>
      </c>
      <c r="C293" s="197" t="s">
        <v>276</v>
      </c>
      <c r="D293" s="197" t="s">
        <v>276</v>
      </c>
      <c r="E293" s="55">
        <v>50</v>
      </c>
      <c r="F293" s="24">
        <f t="shared" si="55"/>
        <v>0</v>
      </c>
      <c r="G293" s="14">
        <v>90</v>
      </c>
      <c r="H293" s="23"/>
      <c r="I293" s="14">
        <f t="shared" si="56"/>
        <v>0</v>
      </c>
      <c r="J293" s="45"/>
      <c r="K293" s="42"/>
    </row>
    <row r="294" spans="1:11" ht="15" customHeight="1">
      <c r="A294" s="198" t="s">
        <v>282</v>
      </c>
      <c r="B294" s="199"/>
      <c r="C294" s="199"/>
      <c r="D294" s="200"/>
      <c r="E294" s="25">
        <v>64</v>
      </c>
      <c r="F294" s="24">
        <f t="shared" si="55"/>
        <v>0</v>
      </c>
      <c r="G294" s="14">
        <v>230</v>
      </c>
      <c r="H294" s="23"/>
      <c r="I294" s="14">
        <f t="shared" si="56"/>
        <v>0</v>
      </c>
      <c r="J294" s="45"/>
      <c r="K294" s="42"/>
    </row>
    <row r="295" spans="1:11" ht="15" customHeight="1">
      <c r="A295" s="198" t="s">
        <v>283</v>
      </c>
      <c r="B295" s="199"/>
      <c r="C295" s="199"/>
      <c r="D295" s="200"/>
      <c r="E295" s="55">
        <v>50</v>
      </c>
      <c r="F295" s="24">
        <f t="shared" si="55"/>
        <v>0</v>
      </c>
      <c r="G295" s="14">
        <v>230</v>
      </c>
      <c r="H295" s="23"/>
      <c r="I295" s="14">
        <f t="shared" si="56"/>
        <v>0</v>
      </c>
      <c r="J295" s="45"/>
      <c r="K295" s="42"/>
    </row>
    <row r="296" spans="1:11" ht="15" customHeight="1">
      <c r="A296" s="198" t="s">
        <v>284</v>
      </c>
      <c r="B296" s="199"/>
      <c r="C296" s="199"/>
      <c r="D296" s="200"/>
      <c r="E296" s="55">
        <v>50</v>
      </c>
      <c r="F296" s="24">
        <f t="shared" si="55"/>
        <v>0</v>
      </c>
      <c r="G296" s="14">
        <v>220</v>
      </c>
      <c r="H296" s="31"/>
      <c r="I296" s="14">
        <f t="shared" si="56"/>
        <v>0</v>
      </c>
      <c r="J296" s="45"/>
      <c r="K296" s="42"/>
    </row>
    <row r="297" spans="1:11" ht="15" customHeight="1">
      <c r="A297" s="198" t="s">
        <v>285</v>
      </c>
      <c r="B297" s="199"/>
      <c r="C297" s="199"/>
      <c r="D297" s="200"/>
      <c r="E297" s="55">
        <v>50</v>
      </c>
      <c r="F297" s="24">
        <f t="shared" si="55"/>
        <v>0</v>
      </c>
      <c r="G297" s="14">
        <v>170</v>
      </c>
      <c r="H297" s="23"/>
      <c r="I297" s="14">
        <f t="shared" si="56"/>
        <v>0</v>
      </c>
      <c r="J297" s="45"/>
      <c r="K297" s="42"/>
    </row>
    <row r="298" spans="1:11" ht="15" customHeight="1">
      <c r="A298" s="198" t="s">
        <v>286</v>
      </c>
      <c r="B298" s="199"/>
      <c r="C298" s="199"/>
      <c r="D298" s="200"/>
      <c r="E298" s="25">
        <v>40</v>
      </c>
      <c r="F298" s="24">
        <f t="shared" si="55"/>
        <v>0</v>
      </c>
      <c r="G298" s="14">
        <v>180</v>
      </c>
      <c r="H298" s="23"/>
      <c r="I298" s="14">
        <f t="shared" si="56"/>
        <v>0</v>
      </c>
      <c r="J298" s="45"/>
      <c r="K298" s="42"/>
    </row>
    <row r="299" spans="1:11" ht="15" customHeight="1">
      <c r="A299" s="201" t="s">
        <v>287</v>
      </c>
      <c r="B299" s="202"/>
      <c r="C299" s="202"/>
      <c r="D299" s="203"/>
      <c r="E299" s="55">
        <v>45</v>
      </c>
      <c r="F299" s="24">
        <f t="shared" si="55"/>
        <v>0</v>
      </c>
      <c r="G299" s="14">
        <v>120</v>
      </c>
      <c r="H299" s="23"/>
      <c r="I299" s="14">
        <f t="shared" si="56"/>
        <v>0</v>
      </c>
      <c r="J299" s="45"/>
      <c r="K299" s="42"/>
    </row>
    <row r="300" spans="1:11" ht="15" customHeight="1">
      <c r="A300" s="168" t="s">
        <v>288</v>
      </c>
      <c r="B300" s="159"/>
      <c r="C300" s="159"/>
      <c r="D300" s="159"/>
      <c r="E300" s="66">
        <v>40</v>
      </c>
      <c r="F300" s="24">
        <f t="shared" si="55"/>
        <v>0</v>
      </c>
      <c r="G300" s="14">
        <v>170</v>
      </c>
      <c r="H300" s="31"/>
      <c r="I300" s="14">
        <f t="shared" si="56"/>
        <v>0</v>
      </c>
      <c r="J300" s="45"/>
      <c r="K300" s="42"/>
    </row>
    <row r="301" spans="1:11" ht="15" customHeight="1">
      <c r="A301" s="134" t="s">
        <v>289</v>
      </c>
      <c r="B301" s="135"/>
      <c r="C301" s="135"/>
      <c r="D301" s="136"/>
      <c r="E301" s="66">
        <v>30</v>
      </c>
      <c r="F301" s="24">
        <f t="shared" si="55"/>
        <v>0</v>
      </c>
      <c r="G301" s="14">
        <v>150</v>
      </c>
      <c r="H301" s="31"/>
      <c r="I301" s="14">
        <f t="shared" si="56"/>
        <v>0</v>
      </c>
      <c r="J301" s="45"/>
    </row>
    <row r="302" spans="1:11" ht="25" customHeight="1">
      <c r="A302" s="134" t="s">
        <v>290</v>
      </c>
      <c r="B302" s="135"/>
      <c r="C302" s="135"/>
      <c r="D302" s="136"/>
      <c r="E302" s="66">
        <v>35</v>
      </c>
      <c r="F302" s="24">
        <f t="shared" si="55"/>
        <v>0</v>
      </c>
      <c r="G302" s="14">
        <v>130</v>
      </c>
      <c r="H302" s="31"/>
      <c r="I302" s="14">
        <f t="shared" si="56"/>
        <v>0</v>
      </c>
      <c r="J302" s="45"/>
    </row>
    <row r="303" spans="1:11" ht="15" customHeight="1">
      <c r="A303" s="118" t="s">
        <v>291</v>
      </c>
      <c r="B303" s="119"/>
      <c r="C303" s="119"/>
      <c r="D303" s="119"/>
      <c r="E303" s="119"/>
      <c r="F303" s="119"/>
      <c r="G303" s="119"/>
      <c r="H303" s="119"/>
      <c r="I303" s="119"/>
      <c r="J303" s="120"/>
    </row>
    <row r="304" spans="1:11" ht="15" customHeight="1">
      <c r="A304" s="168" t="s">
        <v>292</v>
      </c>
      <c r="B304" s="169"/>
      <c r="C304" s="169"/>
      <c r="D304" s="169"/>
      <c r="E304" s="66">
        <v>100</v>
      </c>
      <c r="F304" s="24">
        <f t="shared" ref="F304" si="59">E304*H304/$D$10</f>
        <v>0</v>
      </c>
      <c r="G304" s="66">
        <v>250</v>
      </c>
      <c r="H304" s="32"/>
      <c r="I304" s="88">
        <f>G304*H304</f>
        <v>0</v>
      </c>
      <c r="J304" s="61"/>
    </row>
    <row r="305" spans="1:10" ht="15" customHeight="1">
      <c r="A305" s="168" t="s">
        <v>293</v>
      </c>
      <c r="B305" s="169"/>
      <c r="C305" s="169"/>
      <c r="D305" s="169"/>
      <c r="E305" s="66">
        <v>1000</v>
      </c>
      <c r="F305" s="24">
        <f t="shared" si="55"/>
        <v>0</v>
      </c>
      <c r="G305" s="66">
        <v>320</v>
      </c>
      <c r="H305" s="32"/>
      <c r="I305" s="88">
        <f>G305*H305</f>
        <v>0</v>
      </c>
      <c r="J305" s="61"/>
    </row>
    <row r="306" spans="1:10" ht="15" customHeight="1">
      <c r="A306" s="204" t="s">
        <v>294</v>
      </c>
      <c r="B306" s="205"/>
      <c r="C306" s="205"/>
      <c r="D306" s="205"/>
      <c r="E306" s="205"/>
      <c r="F306" s="205"/>
      <c r="G306" s="205"/>
      <c r="H306" s="205"/>
      <c r="I306" s="205"/>
      <c r="J306" s="89">
        <f>SUM(I13:I305)</f>
        <v>0</v>
      </c>
    </row>
    <row r="307" spans="1:10" ht="24.9" customHeight="1">
      <c r="A307" s="206" t="s">
        <v>295</v>
      </c>
      <c r="B307" s="207"/>
      <c r="C307" s="207"/>
      <c r="D307" s="207"/>
      <c r="E307" s="207"/>
      <c r="F307" s="207"/>
      <c r="G307" s="207"/>
      <c r="H307" s="207"/>
      <c r="I307" s="207"/>
      <c r="J307" s="90">
        <f>SUM(F15:F302)</f>
        <v>0</v>
      </c>
    </row>
    <row r="308" spans="1:10" ht="15" customHeight="1">
      <c r="A308" s="104" t="s">
        <v>296</v>
      </c>
      <c r="B308" s="105"/>
      <c r="C308" s="105"/>
      <c r="D308" s="105"/>
      <c r="E308" s="105"/>
      <c r="F308" s="105"/>
      <c r="G308" s="105"/>
      <c r="H308" s="105"/>
      <c r="I308" s="105"/>
      <c r="J308" s="105"/>
    </row>
    <row r="309" spans="1:10" ht="25" customHeight="1">
      <c r="A309" s="112" t="s">
        <v>18</v>
      </c>
      <c r="B309" s="113"/>
      <c r="C309" s="113"/>
      <c r="D309" s="113"/>
      <c r="E309" s="12" t="s">
        <v>19</v>
      </c>
      <c r="F309" s="12" t="s">
        <v>20</v>
      </c>
      <c r="G309" s="12" t="s">
        <v>21</v>
      </c>
      <c r="H309" s="12" t="s">
        <v>22</v>
      </c>
      <c r="I309" s="12" t="s">
        <v>23</v>
      </c>
      <c r="J309" s="12"/>
    </row>
    <row r="310" spans="1:10" ht="15" customHeight="1">
      <c r="A310" s="213" t="s">
        <v>297</v>
      </c>
      <c r="B310" s="214"/>
      <c r="C310" s="214"/>
      <c r="D310" s="215"/>
      <c r="E310" s="25">
        <v>500</v>
      </c>
      <c r="F310" s="14"/>
      <c r="G310" s="25">
        <v>100</v>
      </c>
      <c r="H310" s="25"/>
      <c r="I310" s="14">
        <f t="shared" ref="I310:I316" si="60">G310*H310</f>
        <v>0</v>
      </c>
      <c r="J310" s="45"/>
    </row>
    <row r="311" spans="1:10" ht="15" customHeight="1">
      <c r="A311" s="213" t="s">
        <v>298</v>
      </c>
      <c r="B311" s="214"/>
      <c r="C311" s="214"/>
      <c r="D311" s="215"/>
      <c r="E311" s="25">
        <v>500</v>
      </c>
      <c r="F311" s="14"/>
      <c r="G311" s="25">
        <v>300</v>
      </c>
      <c r="H311" s="25"/>
      <c r="I311" s="14">
        <f t="shared" si="60"/>
        <v>0</v>
      </c>
      <c r="J311" s="45"/>
    </row>
    <row r="312" spans="1:10" ht="15" customHeight="1">
      <c r="A312" s="148" t="s">
        <v>299</v>
      </c>
      <c r="B312" s="149"/>
      <c r="C312" s="149"/>
      <c r="D312" s="150"/>
      <c r="E312" s="25"/>
      <c r="F312" s="14"/>
      <c r="G312" s="25">
        <v>35</v>
      </c>
      <c r="H312" s="25"/>
      <c r="I312" s="14">
        <f t="shared" si="60"/>
        <v>0</v>
      </c>
      <c r="J312" s="45"/>
    </row>
    <row r="313" spans="1:10" ht="15" customHeight="1">
      <c r="A313" s="148" t="s">
        <v>300</v>
      </c>
      <c r="B313" s="149"/>
      <c r="C313" s="149"/>
      <c r="D313" s="150"/>
      <c r="E313" s="25"/>
      <c r="F313" s="14"/>
      <c r="G313" s="25">
        <v>50</v>
      </c>
      <c r="H313" s="25"/>
      <c r="I313" s="14">
        <f t="shared" si="60"/>
        <v>0</v>
      </c>
      <c r="J313" s="45"/>
    </row>
    <row r="314" spans="1:10" ht="15" customHeight="1">
      <c r="A314" s="148" t="s">
        <v>301</v>
      </c>
      <c r="B314" s="149"/>
      <c r="C314" s="149"/>
      <c r="D314" s="150"/>
      <c r="E314" s="25"/>
      <c r="F314" s="14"/>
      <c r="G314" s="25">
        <v>20</v>
      </c>
      <c r="H314" s="25"/>
      <c r="I314" s="14">
        <f t="shared" si="60"/>
        <v>0</v>
      </c>
      <c r="J314" s="45"/>
    </row>
    <row r="315" spans="1:10" ht="15" customHeight="1">
      <c r="A315" s="124" t="s">
        <v>302</v>
      </c>
      <c r="B315" s="125"/>
      <c r="C315" s="125"/>
      <c r="D315" s="125"/>
      <c r="E315" s="25">
        <v>400</v>
      </c>
      <c r="F315" s="14"/>
      <c r="G315" s="25">
        <v>140</v>
      </c>
      <c r="H315" s="25"/>
      <c r="I315" s="14">
        <f t="shared" si="60"/>
        <v>0</v>
      </c>
      <c r="J315" s="45"/>
    </row>
    <row r="316" spans="1:10" ht="15" customHeight="1">
      <c r="A316" s="148" t="s">
        <v>303</v>
      </c>
      <c r="B316" s="149"/>
      <c r="C316" s="149"/>
      <c r="D316" s="150"/>
      <c r="E316" s="25">
        <v>150</v>
      </c>
      <c r="F316" s="14"/>
      <c r="G316" s="25">
        <v>170</v>
      </c>
      <c r="H316" s="25"/>
      <c r="I316" s="14">
        <f t="shared" si="60"/>
        <v>0</v>
      </c>
      <c r="J316" s="45"/>
    </row>
    <row r="317" spans="1:10" ht="15" customHeight="1">
      <c r="A317" s="168" t="s">
        <v>304</v>
      </c>
      <c r="B317" s="169"/>
      <c r="C317" s="169"/>
      <c r="D317" s="169"/>
      <c r="E317" s="66" t="s">
        <v>305</v>
      </c>
      <c r="F317" s="14"/>
      <c r="G317" s="66">
        <v>100</v>
      </c>
      <c r="H317" s="32"/>
      <c r="I317" s="88">
        <f t="shared" ref="I317" si="61">G317*H317</f>
        <v>0</v>
      </c>
      <c r="J317" s="61"/>
    </row>
    <row r="318" spans="1:10" ht="15" customHeight="1">
      <c r="A318" s="204" t="s">
        <v>306</v>
      </c>
      <c r="B318" s="205"/>
      <c r="C318" s="205"/>
      <c r="D318" s="205"/>
      <c r="E318" s="205"/>
      <c r="F318" s="205"/>
      <c r="G318" s="205"/>
      <c r="H318" s="205"/>
      <c r="I318" s="205"/>
      <c r="J318" s="91">
        <f>SUM(I310:I317)</f>
        <v>0</v>
      </c>
    </row>
    <row r="319" spans="1:10" ht="15" customHeight="1">
      <c r="A319" s="204" t="s">
        <v>307</v>
      </c>
      <c r="B319" s="205"/>
      <c r="C319" s="205"/>
      <c r="D319" s="205"/>
      <c r="E319" s="205"/>
      <c r="F319" s="205"/>
      <c r="G319" s="205"/>
      <c r="H319" s="205"/>
      <c r="I319" s="205"/>
      <c r="J319" s="91">
        <f>SUM(J306,J318)</f>
        <v>0</v>
      </c>
    </row>
    <row r="320" spans="1:10" ht="15" customHeight="1">
      <c r="A320" s="206" t="s">
        <v>308</v>
      </c>
      <c r="B320" s="207"/>
      <c r="C320" s="207"/>
      <c r="D320" s="207"/>
      <c r="E320" s="207"/>
      <c r="F320" s="207"/>
      <c r="G320" s="207"/>
      <c r="H320" s="207"/>
      <c r="I320" s="207"/>
      <c r="J320" s="92">
        <f>J319/D10</f>
        <v>0</v>
      </c>
    </row>
    <row r="321" spans="1:10" ht="15" customHeight="1">
      <c r="A321" s="208" t="s">
        <v>309</v>
      </c>
      <c r="B321" s="209"/>
      <c r="C321" s="209"/>
      <c r="D321" s="209"/>
      <c r="E321" s="209"/>
      <c r="F321" s="209"/>
      <c r="G321" s="209"/>
      <c r="H321" s="209"/>
      <c r="I321" s="210"/>
      <c r="J321" s="91"/>
    </row>
    <row r="322" spans="1:10" ht="15" customHeight="1">
      <c r="A322" s="211" t="s">
        <v>310</v>
      </c>
      <c r="B322" s="212"/>
      <c r="C322" s="212"/>
      <c r="D322" s="212"/>
      <c r="E322" s="212"/>
      <c r="F322" s="212"/>
      <c r="G322" s="212"/>
      <c r="H322" s="212"/>
      <c r="I322" s="212"/>
      <c r="J322" s="93">
        <f>J321+J319</f>
        <v>0</v>
      </c>
    </row>
    <row r="323" spans="1:10" ht="15" customHeight="1">
      <c r="A323" s="206" t="s">
        <v>311</v>
      </c>
      <c r="B323" s="207"/>
      <c r="C323" s="207"/>
      <c r="D323" s="207"/>
      <c r="E323" s="207"/>
      <c r="F323" s="207"/>
      <c r="G323" s="207"/>
      <c r="H323" s="207"/>
      <c r="I323" s="207"/>
      <c r="J323" s="94">
        <f>J322/$D$10</f>
        <v>0</v>
      </c>
    </row>
  </sheetData>
  <mergeCells count="334">
    <mergeCell ref="A316:D316"/>
    <mergeCell ref="A317:D317"/>
    <mergeCell ref="A318:I318"/>
    <mergeCell ref="A319:I319"/>
    <mergeCell ref="A320:I320"/>
    <mergeCell ref="A321:I321"/>
    <mergeCell ref="A322:I322"/>
    <mergeCell ref="A323:I323"/>
    <mergeCell ref="D6:E7"/>
    <mergeCell ref="I6:J7"/>
    <mergeCell ref="A6:C7"/>
    <mergeCell ref="A96:D96"/>
    <mergeCell ref="A97:D97"/>
    <mergeCell ref="A101:D101"/>
    <mergeCell ref="A100:D100"/>
    <mergeCell ref="A99:D99"/>
    <mergeCell ref="A98:D98"/>
    <mergeCell ref="A102:D102"/>
    <mergeCell ref="A103:D103"/>
    <mergeCell ref="A307:I307"/>
    <mergeCell ref="A308:J308"/>
    <mergeCell ref="A309:D309"/>
    <mergeCell ref="A310:D310"/>
    <mergeCell ref="A311:D311"/>
    <mergeCell ref="A312:D312"/>
    <mergeCell ref="A313:D313"/>
    <mergeCell ref="A314:D314"/>
    <mergeCell ref="A315:D315"/>
    <mergeCell ref="A298:D298"/>
    <mergeCell ref="A299:D299"/>
    <mergeCell ref="A300:D300"/>
    <mergeCell ref="A301:D301"/>
    <mergeCell ref="A302:D302"/>
    <mergeCell ref="A303:J303"/>
    <mergeCell ref="A304:D304"/>
    <mergeCell ref="A305:D305"/>
    <mergeCell ref="A306:I306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79:D279"/>
    <mergeCell ref="A280:D280"/>
    <mergeCell ref="A281:D281"/>
    <mergeCell ref="A283:D283"/>
    <mergeCell ref="A284:D284"/>
    <mergeCell ref="A285:D285"/>
    <mergeCell ref="A286:D286"/>
    <mergeCell ref="A287:D287"/>
    <mergeCell ref="A288:D288"/>
    <mergeCell ref="A270:D270"/>
    <mergeCell ref="A271:D271"/>
    <mergeCell ref="A272:D272"/>
    <mergeCell ref="A273:D273"/>
    <mergeCell ref="A274:D274"/>
    <mergeCell ref="A275:D275"/>
    <mergeCell ref="A276:J276"/>
    <mergeCell ref="A277:D277"/>
    <mergeCell ref="A278:D278"/>
    <mergeCell ref="A262:D262"/>
    <mergeCell ref="A263:D263"/>
    <mergeCell ref="M261:P261"/>
    <mergeCell ref="A264:J264"/>
    <mergeCell ref="A265:D265"/>
    <mergeCell ref="A266:D266"/>
    <mergeCell ref="A267:D267"/>
    <mergeCell ref="A268:D268"/>
    <mergeCell ref="A269:J269"/>
    <mergeCell ref="A253:D253"/>
    <mergeCell ref="A254:D254"/>
    <mergeCell ref="A255:D255"/>
    <mergeCell ref="A256:J256"/>
    <mergeCell ref="A257:D257"/>
    <mergeCell ref="A258:D258"/>
    <mergeCell ref="A259:D259"/>
    <mergeCell ref="A260:D260"/>
    <mergeCell ref="A261:D261"/>
    <mergeCell ref="A244:D244"/>
    <mergeCell ref="A245:D245"/>
    <mergeCell ref="A246:D246"/>
    <mergeCell ref="A247:D247"/>
    <mergeCell ref="A248:D248"/>
    <mergeCell ref="A249:J249"/>
    <mergeCell ref="A250:D250"/>
    <mergeCell ref="A251:D251"/>
    <mergeCell ref="A252:D252"/>
    <mergeCell ref="A235:D235"/>
    <mergeCell ref="A236:D236"/>
    <mergeCell ref="A237:D237"/>
    <mergeCell ref="A238:D238"/>
    <mergeCell ref="A239:D239"/>
    <mergeCell ref="A240:J240"/>
    <mergeCell ref="A241:D241"/>
    <mergeCell ref="A242:D242"/>
    <mergeCell ref="A243:D243"/>
    <mergeCell ref="A226:D226"/>
    <mergeCell ref="A227:D227"/>
    <mergeCell ref="A228:D228"/>
    <mergeCell ref="A229:D229"/>
    <mergeCell ref="A230:J230"/>
    <mergeCell ref="A231:D231"/>
    <mergeCell ref="A232:D232"/>
    <mergeCell ref="A233:D233"/>
    <mergeCell ref="A234:D234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08:J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197:D197"/>
    <mergeCell ref="A198:J198"/>
    <mergeCell ref="A199:D199"/>
    <mergeCell ref="A200:D200"/>
    <mergeCell ref="A202:D202"/>
    <mergeCell ref="A204:D204"/>
    <mergeCell ref="A205:D205"/>
    <mergeCell ref="A206:J206"/>
    <mergeCell ref="A207:D207"/>
    <mergeCell ref="A188:J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M159:P159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47:D147"/>
    <mergeCell ref="A148:D148"/>
    <mergeCell ref="A149:D149"/>
    <mergeCell ref="A150:D150"/>
    <mergeCell ref="A151:D151"/>
    <mergeCell ref="A158:J158"/>
    <mergeCell ref="A159:D159"/>
    <mergeCell ref="A160:D160"/>
    <mergeCell ref="A161:D161"/>
    <mergeCell ref="A155:J155"/>
    <mergeCell ref="A156:D156"/>
    <mergeCell ref="A157:D157"/>
    <mergeCell ref="A154:D154"/>
    <mergeCell ref="A152:J152"/>
    <mergeCell ref="A153:D153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J137"/>
    <mergeCell ref="A119:D119"/>
    <mergeCell ref="A120:D120"/>
    <mergeCell ref="A121:D121"/>
    <mergeCell ref="A122:D122"/>
    <mergeCell ref="A123:D123"/>
    <mergeCell ref="A124:D124"/>
    <mergeCell ref="A126:D126"/>
    <mergeCell ref="A127:D127"/>
    <mergeCell ref="A128:D128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92:D92"/>
    <mergeCell ref="A93:D93"/>
    <mergeCell ref="A94:D94"/>
    <mergeCell ref="A95:D95"/>
    <mergeCell ref="A105:D105"/>
    <mergeCell ref="A106:D106"/>
    <mergeCell ref="A107:D107"/>
    <mergeCell ref="A108:D108"/>
    <mergeCell ref="A109:J109"/>
    <mergeCell ref="A104:D104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73:D73"/>
    <mergeCell ref="A75:J75"/>
    <mergeCell ref="A76:D76"/>
    <mergeCell ref="A77:D77"/>
    <mergeCell ref="A78:D78"/>
    <mergeCell ref="A79:D79"/>
    <mergeCell ref="A80:D80"/>
    <mergeCell ref="A81:D81"/>
    <mergeCell ref="A82:D82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55:D55"/>
    <mergeCell ref="A56:J56"/>
    <mergeCell ref="A57:D57"/>
    <mergeCell ref="A58:D58"/>
    <mergeCell ref="A59:D59"/>
    <mergeCell ref="A60:D60"/>
    <mergeCell ref="A61:D61"/>
    <mergeCell ref="A62:D62"/>
    <mergeCell ref="A63:D63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12:D12"/>
    <mergeCell ref="E12:H12"/>
    <mergeCell ref="I12:J12"/>
    <mergeCell ref="A13:J13"/>
    <mergeCell ref="A14:D14"/>
    <mergeCell ref="A15:D15"/>
    <mergeCell ref="A16:D16"/>
    <mergeCell ref="A17:D17"/>
    <mergeCell ref="A18:D18"/>
    <mergeCell ref="B9:C9"/>
    <mergeCell ref="G9:H9"/>
    <mergeCell ref="I9:J9"/>
    <mergeCell ref="B10:C10"/>
    <mergeCell ref="G10:H10"/>
    <mergeCell ref="I10:J10"/>
    <mergeCell ref="A11:D11"/>
    <mergeCell ref="E11:H11"/>
    <mergeCell ref="I11:J11"/>
    <mergeCell ref="A1:C1"/>
    <mergeCell ref="E1:J1"/>
    <mergeCell ref="A2:C2"/>
    <mergeCell ref="I2:J2"/>
    <mergeCell ref="A3:C3"/>
    <mergeCell ref="A5:J5"/>
    <mergeCell ref="F6:H6"/>
    <mergeCell ref="A8:C8"/>
    <mergeCell ref="D8:E8"/>
    <mergeCell ref="I8:J8"/>
    <mergeCell ref="I3:J4"/>
  </mergeCells>
  <pageMargins left="0.25" right="0.25" top="0.75" bottom="0.75" header="0.3" footer="0.3"/>
  <pageSetup paperSize="9" orientation="portrait" r:id="rId1"/>
  <headerFooter>
    <oddFooter>&amp;L&amp;"Helvetica,Regular"&amp;11&amp;K000000	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Фуртиков Илья</cp:lastModifiedBy>
  <cp:lastPrinted>2025-01-21T12:40:00Z</cp:lastPrinted>
  <dcterms:created xsi:type="dcterms:W3CDTF">2015-08-21T15:05:00Z</dcterms:created>
  <dcterms:modified xsi:type="dcterms:W3CDTF">2026-05-04T14:11:04Z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1049-12.2.0.23131</vt:lpwstr>
  </property>
</Properties>
</file>